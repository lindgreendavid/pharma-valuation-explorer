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Comparison" sheetId="3" state="visible" r:id="rId3"/>
    <sheet name="DCF" sheetId="4" state="visible" r:id="rId4"/>
    <sheet name="Sensitivity" sheetId="5" state="visible" r:id="rId5"/>
    <sheet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E1E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1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Pharma Valuation Explorer: comparison and DCF model (version 0.1.0)</t>
        </is>
      </c>
    </row>
    <row r="2">
      <c r="A2" s="2" t="inlineStr"/>
    </row>
    <row r="3">
      <c r="A3" s="2" t="inlineStr">
        <is>
          <t>What this is: public IFRS financials of Novartis (USD), GSK (GBP) and Novo Nordisk (DKK) for fiscal years 2023 to 2025, a comparison sheet, and a DCF of Novartis.</t>
        </is>
      </c>
    </row>
    <row r="4">
      <c r="A4" s="2" t="inlineStr">
        <is>
          <t>Source of every number on the Data sheet: the companies' Form 20-F filings on SEC EDGAR (accession number and R page in each row). Millions of reporting currency, as filed.</t>
        </is>
      </c>
    </row>
    <row r="5">
      <c r="A5" s="2" t="inlineStr">
        <is>
          <t>Fiscal years end 31 December for all three companies. Figures are as reported under IFRS. Company 'core' or 'adjusted' measures are not used.</t>
        </is>
      </c>
    </row>
    <row r="6">
      <c r="A6" s="2" t="inlineStr">
        <is>
          <t>Novartis figures are continuing operations (the 2023 Sandoz spin-off is excluded). Revenue is net sales; other revenue and royalty income are excluded from revenue.</t>
        </is>
      </c>
    </row>
    <row r="7">
      <c r="A7" s="2" t="inlineStr">
        <is>
          <t>Blue cells are inputs you can change. Everything else is a formula.</t>
        </is>
      </c>
    </row>
    <row r="8">
      <c r="A8" s="2" t="inlineStr">
        <is>
          <t>The DCF defaults are the author's assumptions for exploring a range. They are not forecasts, guidance or investment advice.</t>
        </is>
      </c>
    </row>
    <row r="9">
      <c r="A9" s="2" t="inlineStr">
        <is>
          <t>No share prices are included: no public price source with a clear reuse licence was available programmatically. The model gives a value per share you can compare with a price you choose.</t>
        </is>
      </c>
    </row>
    <row r="10">
      <c r="A10" s="2" t="inlineStr">
        <is>
          <t>Risk-free rate: US Treasury 10-year yield on 2025-12-31 (FRED DGS10). Equity risk premium: Damodaran implied ERP, 2026-01-01.</t>
        </is>
      </c>
    </row>
    <row r="11">
      <c r="A11" s="2" t="inlineStr">
        <is>
          <t>Not covered in the enterprise-to-equity bridge: litigation and tax provisions, off-balance-sheet commitments, pension surpluses, and operating-lease commitments outside IFRS 16 liabilities.</t>
        </is>
      </c>
    </row>
    <row r="12">
      <c r="A12" s="2" t="inlineStr">
        <is>
          <t>See docs/methodology.md in the repository for definitions, the comparability rules and the validation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34" customWidth="1" min="3" max="3"/>
    <col width="14" customWidth="1" min="4" max="4"/>
    <col width="9" customWidth="1" min="5" max="5"/>
    <col width="22" customWidth="1" min="6" max="6"/>
    <col width="14" customWidth="1" min="7" max="7"/>
    <col width="60" customWidth="1" min="8" max="8"/>
    <col width="60" customWidth="1" min="9" max="9"/>
  </cols>
  <sheetData>
    <row r="1">
      <c r="A1" s="3" t="inlineStr">
        <is>
          <t>company</t>
        </is>
      </c>
      <c r="B1" s="3" t="inlineStr">
        <is>
          <t>fiscal_year</t>
        </is>
      </c>
      <c r="C1" s="3" t="inlineStr">
        <is>
          <t>field</t>
        </is>
      </c>
      <c r="D1" s="3" t="inlineStr">
        <is>
          <t>value</t>
        </is>
      </c>
      <c r="E1" s="3" t="inlineStr">
        <is>
          <t>currency</t>
        </is>
      </c>
      <c r="F1" s="3" t="inlineStr">
        <is>
          <t>accession</t>
        </is>
      </c>
      <c r="G1" s="3" t="inlineStr">
        <is>
          <t>source_page</t>
        </is>
      </c>
      <c r="H1" s="3" t="inlineStr">
        <is>
          <t>line_label</t>
        </is>
      </c>
      <c r="I1" s="3" t="inlineStr">
        <is>
          <t>note</t>
        </is>
      </c>
    </row>
    <row r="2">
      <c r="A2" s="2" t="inlineStr">
        <is>
          <t>GSK</t>
        </is>
      </c>
      <c r="B2" s="2" t="n">
        <v>2023</v>
      </c>
      <c r="C2" s="2" t="inlineStr">
        <is>
          <t>buybacks</t>
        </is>
      </c>
      <c r="D2" s="2" t="n">
        <v>0</v>
      </c>
      <c r="E2" s="2" t="inlineStr">
        <is>
          <t>GBP</t>
        </is>
      </c>
      <c r="F2" s="2" t="inlineStr">
        <is>
          <t>0001131399-26-000004</t>
        </is>
      </c>
      <c r="G2" s="2" t="inlineStr">
        <is>
          <t>R7.htm</t>
        </is>
      </c>
      <c r="H2" s="2" t="inlineStr">
        <is>
          <t>Purchase of treasury shares</t>
        </is>
      </c>
      <c r="I2" s="2" t="inlineStr"/>
    </row>
    <row r="3">
      <c r="A3" s="2" t="inlineStr">
        <is>
          <t>GSK</t>
        </is>
      </c>
      <c r="B3" s="2" t="n">
        <v>2024</v>
      </c>
      <c r="C3" s="2" t="inlineStr">
        <is>
          <t>buybacks</t>
        </is>
      </c>
      <c r="D3" s="2" t="n">
        <v>0</v>
      </c>
      <c r="E3" s="2" t="inlineStr">
        <is>
          <t>GBP</t>
        </is>
      </c>
      <c r="F3" s="2" t="inlineStr">
        <is>
          <t>0001131399-26-000004</t>
        </is>
      </c>
      <c r="G3" s="2" t="inlineStr">
        <is>
          <t>R7.htm</t>
        </is>
      </c>
      <c r="H3" s="2" t="inlineStr">
        <is>
          <t>Purchase of treasury shares</t>
        </is>
      </c>
      <c r="I3" s="2" t="inlineStr"/>
    </row>
    <row r="4">
      <c r="A4" s="2" t="inlineStr">
        <is>
          <t>GSK</t>
        </is>
      </c>
      <c r="B4" s="2" t="n">
        <v>2025</v>
      </c>
      <c r="C4" s="2" t="inlineStr">
        <is>
          <t>buybacks</t>
        </is>
      </c>
      <c r="D4" s="2" t="n">
        <v>1377</v>
      </c>
      <c r="E4" s="2" t="inlineStr">
        <is>
          <t>GBP</t>
        </is>
      </c>
      <c r="F4" s="2" t="inlineStr">
        <is>
          <t>0001131399-26-000004</t>
        </is>
      </c>
      <c r="G4" s="2" t="inlineStr">
        <is>
          <t>R7.htm</t>
        </is>
      </c>
      <c r="H4" s="2" t="inlineStr">
        <is>
          <t>Purchase of treasury shares</t>
        </is>
      </c>
      <c r="I4" s="2" t="inlineStr"/>
    </row>
    <row r="5">
      <c r="A5" s="2" t="inlineStr">
        <is>
          <t>GSK</t>
        </is>
      </c>
      <c r="B5" s="2" t="n">
        <v>2023</v>
      </c>
      <c r="C5" s="2" t="inlineStr">
        <is>
          <t>capex_intangibles</t>
        </is>
      </c>
      <c r="D5" s="2" t="n">
        <v>1030</v>
      </c>
      <c r="E5" s="2" t="inlineStr">
        <is>
          <t>GBP</t>
        </is>
      </c>
      <c r="F5" s="2" t="inlineStr">
        <is>
          <t>0001131399-26-000004</t>
        </is>
      </c>
      <c r="G5" s="2" t="inlineStr">
        <is>
          <t>R7.htm</t>
        </is>
      </c>
      <c r="H5" s="2" t="inlineStr">
        <is>
          <t>Purchase of intangible assets</t>
        </is>
      </c>
      <c r="I5" s="2" t="inlineStr"/>
    </row>
    <row r="6">
      <c r="A6" s="2" t="inlineStr">
        <is>
          <t>GSK</t>
        </is>
      </c>
      <c r="B6" s="2" t="n">
        <v>2024</v>
      </c>
      <c r="C6" s="2" t="inlineStr">
        <is>
          <t>capex_intangibles</t>
        </is>
      </c>
      <c r="D6" s="2" t="n">
        <v>1583</v>
      </c>
      <c r="E6" s="2" t="inlineStr">
        <is>
          <t>GBP</t>
        </is>
      </c>
      <c r="F6" s="2" t="inlineStr">
        <is>
          <t>0001131399-26-000004</t>
        </is>
      </c>
      <c r="G6" s="2" t="inlineStr">
        <is>
          <t>R7.htm</t>
        </is>
      </c>
      <c r="H6" s="2" t="inlineStr">
        <is>
          <t>Purchase of intangible assets</t>
        </is>
      </c>
      <c r="I6" s="2" t="inlineStr"/>
    </row>
    <row r="7">
      <c r="A7" s="2" t="inlineStr">
        <is>
          <t>GSK</t>
        </is>
      </c>
      <c r="B7" s="2" t="n">
        <v>2025</v>
      </c>
      <c r="C7" s="2" t="inlineStr">
        <is>
          <t>capex_intangibles</t>
        </is>
      </c>
      <c r="D7" s="2" t="n">
        <v>1637</v>
      </c>
      <c r="E7" s="2" t="inlineStr">
        <is>
          <t>GBP</t>
        </is>
      </c>
      <c r="F7" s="2" t="inlineStr">
        <is>
          <t>0001131399-26-000004</t>
        </is>
      </c>
      <c r="G7" s="2" t="inlineStr">
        <is>
          <t>R7.htm</t>
        </is>
      </c>
      <c r="H7" s="2" t="inlineStr">
        <is>
          <t>Purchase of intangible assets</t>
        </is>
      </c>
      <c r="I7" s="2" t="inlineStr"/>
    </row>
    <row r="8">
      <c r="A8" s="2" t="inlineStr">
        <is>
          <t>GSK</t>
        </is>
      </c>
      <c r="B8" s="2" t="n">
        <v>2023</v>
      </c>
      <c r="C8" s="2" t="inlineStr">
        <is>
          <t>capex_ppe</t>
        </is>
      </c>
      <c r="D8" s="2" t="n">
        <v>1314</v>
      </c>
      <c r="E8" s="2" t="inlineStr">
        <is>
          <t>GBP</t>
        </is>
      </c>
      <c r="F8" s="2" t="inlineStr">
        <is>
          <t>0001131399-26-000004</t>
        </is>
      </c>
      <c r="G8" s="2" t="inlineStr">
        <is>
          <t>R7.htm</t>
        </is>
      </c>
      <c r="H8" s="2" t="inlineStr">
        <is>
          <t>Purchase of property, plant and equipment</t>
        </is>
      </c>
      <c r="I8" s="2" t="inlineStr"/>
    </row>
    <row r="9">
      <c r="A9" s="2" t="inlineStr">
        <is>
          <t>GSK</t>
        </is>
      </c>
      <c r="B9" s="2" t="n">
        <v>2024</v>
      </c>
      <c r="C9" s="2" t="inlineStr">
        <is>
          <t>capex_ppe</t>
        </is>
      </c>
      <c r="D9" s="2" t="n">
        <v>1399</v>
      </c>
      <c r="E9" s="2" t="inlineStr">
        <is>
          <t>GBP</t>
        </is>
      </c>
      <c r="F9" s="2" t="inlineStr">
        <is>
          <t>0001131399-26-000004</t>
        </is>
      </c>
      <c r="G9" s="2" t="inlineStr">
        <is>
          <t>R7.htm</t>
        </is>
      </c>
      <c r="H9" s="2" t="inlineStr">
        <is>
          <t>Purchase of property, plant and equipment</t>
        </is>
      </c>
      <c r="I9" s="2" t="inlineStr"/>
    </row>
    <row r="10">
      <c r="A10" s="2" t="inlineStr">
        <is>
          <t>GSK</t>
        </is>
      </c>
      <c r="B10" s="2" t="n">
        <v>2025</v>
      </c>
      <c r="C10" s="2" t="inlineStr">
        <is>
          <t>capex_ppe</t>
        </is>
      </c>
      <c r="D10" s="2" t="n">
        <v>1348</v>
      </c>
      <c r="E10" s="2" t="inlineStr">
        <is>
          <t>GBP</t>
        </is>
      </c>
      <c r="F10" s="2" t="inlineStr">
        <is>
          <t>0001131399-26-000004</t>
        </is>
      </c>
      <c r="G10" s="2" t="inlineStr">
        <is>
          <t>R7.htm</t>
        </is>
      </c>
      <c r="H10" s="2" t="inlineStr">
        <is>
          <t>Purchase of property, plant and equipment</t>
        </is>
      </c>
      <c r="I10" s="2" t="inlineStr"/>
    </row>
    <row r="11">
      <c r="A11" s="2" t="inlineStr">
        <is>
          <t>GSK</t>
        </is>
      </c>
      <c r="B11" s="2" t="n">
        <v>2023</v>
      </c>
      <c r="C11" s="2" t="inlineStr">
        <is>
          <t>cash</t>
        </is>
      </c>
      <c r="D11" s="2" t="n">
        <v>2936</v>
      </c>
      <c r="E11" s="2" t="inlineStr">
        <is>
          <t>GBP</t>
        </is>
      </c>
      <c r="F11" s="2" t="inlineStr">
        <is>
          <t>0001131399-25-000007</t>
        </is>
      </c>
      <c r="G11" s="2" t="inlineStr">
        <is>
          <t>R5.htm</t>
        </is>
      </c>
      <c r="H11" s="2" t="inlineStr">
        <is>
          <t>Cash and cash equivalents</t>
        </is>
      </c>
      <c r="I11" s="2" t="inlineStr"/>
    </row>
    <row r="12">
      <c r="A12" s="2" t="inlineStr">
        <is>
          <t>GSK</t>
        </is>
      </c>
      <c r="B12" s="2" t="n">
        <v>2024</v>
      </c>
      <c r="C12" s="2" t="inlineStr">
        <is>
          <t>cash</t>
        </is>
      </c>
      <c r="D12" s="2" t="n">
        <v>3870</v>
      </c>
      <c r="E12" s="2" t="inlineStr">
        <is>
          <t>GBP</t>
        </is>
      </c>
      <c r="F12" s="2" t="inlineStr">
        <is>
          <t>0001131399-26-000004</t>
        </is>
      </c>
      <c r="G12" s="2" t="inlineStr">
        <is>
          <t>R5.htm</t>
        </is>
      </c>
      <c r="H12" s="2" t="inlineStr">
        <is>
          <t>Cash and cash equivalents</t>
        </is>
      </c>
      <c r="I12" s="2" t="inlineStr"/>
    </row>
    <row r="13">
      <c r="A13" s="2" t="inlineStr">
        <is>
          <t>GSK</t>
        </is>
      </c>
      <c r="B13" s="2" t="n">
        <v>2025</v>
      </c>
      <c r="C13" s="2" t="inlineStr">
        <is>
          <t>cash</t>
        </is>
      </c>
      <c r="D13" s="2" t="n">
        <v>3397</v>
      </c>
      <c r="E13" s="2" t="inlineStr">
        <is>
          <t>GBP</t>
        </is>
      </c>
      <c r="F13" s="2" t="inlineStr">
        <is>
          <t>0001131399-26-000004</t>
        </is>
      </c>
      <c r="G13" s="2" t="inlineStr">
        <is>
          <t>R5.htm</t>
        </is>
      </c>
      <c r="H13" s="2" t="inlineStr">
        <is>
          <t>Cash and cash equivalents</t>
        </is>
      </c>
      <c r="I13" s="2" t="inlineStr"/>
    </row>
    <row r="14">
      <c r="A14" s="2" t="inlineStr">
        <is>
          <t>GSK</t>
        </is>
      </c>
      <c r="B14" s="2" t="n">
        <v>2023</v>
      </c>
      <c r="C14" s="2" t="inlineStr">
        <is>
          <t>cfo</t>
        </is>
      </c>
      <c r="D14" s="2" t="n">
        <v>6768</v>
      </c>
      <c r="E14" s="2" t="inlineStr">
        <is>
          <t>GBP</t>
        </is>
      </c>
      <c r="F14" s="2" t="inlineStr">
        <is>
          <t>0001131399-26-000004</t>
        </is>
      </c>
      <c r="G14" s="2" t="inlineStr">
        <is>
          <t>R7.htm</t>
        </is>
      </c>
      <c r="H14" s="2" t="inlineStr">
        <is>
          <t>Total net cash inflow/(outflow) from operating activities</t>
        </is>
      </c>
      <c r="I14" s="2" t="inlineStr"/>
    </row>
    <row r="15">
      <c r="A15" s="2" t="inlineStr">
        <is>
          <t>GSK</t>
        </is>
      </c>
      <c r="B15" s="2" t="n">
        <v>2024</v>
      </c>
      <c r="C15" s="2" t="inlineStr">
        <is>
          <t>cfo</t>
        </is>
      </c>
      <c r="D15" s="2" t="n">
        <v>6554</v>
      </c>
      <c r="E15" s="2" t="inlineStr">
        <is>
          <t>GBP</t>
        </is>
      </c>
      <c r="F15" s="2" t="inlineStr">
        <is>
          <t>0001131399-26-000004</t>
        </is>
      </c>
      <c r="G15" s="2" t="inlineStr">
        <is>
          <t>R7.htm</t>
        </is>
      </c>
      <c r="H15" s="2" t="inlineStr">
        <is>
          <t>Total net cash inflow/(outflow) from operating activities</t>
        </is>
      </c>
      <c r="I15" s="2" t="inlineStr"/>
    </row>
    <row r="16">
      <c r="A16" s="2" t="inlineStr">
        <is>
          <t>GSK</t>
        </is>
      </c>
      <c r="B16" s="2" t="n">
        <v>2025</v>
      </c>
      <c r="C16" s="2" t="inlineStr">
        <is>
          <t>cfo</t>
        </is>
      </c>
      <c r="D16" s="2" t="n">
        <v>7741</v>
      </c>
      <c r="E16" s="2" t="inlineStr">
        <is>
          <t>GBP</t>
        </is>
      </c>
      <c r="F16" s="2" t="inlineStr">
        <is>
          <t>0001131399-26-000004</t>
        </is>
      </c>
      <c r="G16" s="2" t="inlineStr">
        <is>
          <t>R7.htm</t>
        </is>
      </c>
      <c r="H16" s="2" t="inlineStr">
        <is>
          <t>Total net cash inflow/(outflow) from operating activities</t>
        </is>
      </c>
      <c r="I16" s="2" t="inlineStr"/>
    </row>
    <row r="17">
      <c r="A17" s="2" t="inlineStr">
        <is>
          <t>GSK</t>
        </is>
      </c>
      <c r="B17" s="2" t="n">
        <v>2023</v>
      </c>
      <c r="C17" s="2" t="inlineStr">
        <is>
          <t>contingent_consideration_current</t>
        </is>
      </c>
      <c r="D17" s="2" t="n">
        <v>1053</v>
      </c>
      <c r="E17" s="2" t="inlineStr">
        <is>
          <t>GBP</t>
        </is>
      </c>
      <c r="F17" s="2" t="inlineStr">
        <is>
          <t>0001131399-25-000007</t>
        </is>
      </c>
      <c r="G17" s="2" t="inlineStr">
        <is>
          <t>R5.htm</t>
        </is>
      </c>
      <c r="H17" s="2" t="inlineStr">
        <is>
          <t>Contingent consideration liabilities</t>
        </is>
      </c>
      <c r="I17" s="2" t="inlineStr"/>
    </row>
    <row r="18">
      <c r="A18" s="2" t="inlineStr">
        <is>
          <t>GSK</t>
        </is>
      </c>
      <c r="B18" s="2" t="n">
        <v>2024</v>
      </c>
      <c r="C18" s="2" t="inlineStr">
        <is>
          <t>contingent_consideration_current</t>
        </is>
      </c>
      <c r="D18" s="2" t="n">
        <v>1172</v>
      </c>
      <c r="E18" s="2" t="inlineStr">
        <is>
          <t>GBP</t>
        </is>
      </c>
      <c r="F18" s="2" t="inlineStr">
        <is>
          <t>0001131399-26-000004</t>
        </is>
      </c>
      <c r="G18" s="2" t="inlineStr">
        <is>
          <t>R5.htm</t>
        </is>
      </c>
      <c r="H18" s="2" t="inlineStr">
        <is>
          <t>Contingent consideration liabilities</t>
        </is>
      </c>
      <c r="I18" s="2" t="inlineStr"/>
    </row>
    <row r="19">
      <c r="A19" s="2" t="inlineStr">
        <is>
          <t>GSK</t>
        </is>
      </c>
      <c r="B19" s="2" t="n">
        <v>2025</v>
      </c>
      <c r="C19" s="2" t="inlineStr">
        <is>
          <t>contingent_consideration_current</t>
        </is>
      </c>
      <c r="D19" s="2" t="n">
        <v>1348</v>
      </c>
      <c r="E19" s="2" t="inlineStr">
        <is>
          <t>GBP</t>
        </is>
      </c>
      <c r="F19" s="2" t="inlineStr">
        <is>
          <t>0001131399-26-000004</t>
        </is>
      </c>
      <c r="G19" s="2" t="inlineStr">
        <is>
          <t>R5.htm</t>
        </is>
      </c>
      <c r="H19" s="2" t="inlineStr">
        <is>
          <t>Contingent consideration liabilities</t>
        </is>
      </c>
      <c r="I19" s="2" t="inlineStr"/>
    </row>
    <row r="20">
      <c r="A20" s="2" t="inlineStr">
        <is>
          <t>GSK</t>
        </is>
      </c>
      <c r="B20" s="2" t="n">
        <v>2023</v>
      </c>
      <c r="C20" s="2" t="inlineStr">
        <is>
          <t>contingent_consideration_noncurrent</t>
        </is>
      </c>
      <c r="D20" s="2" t="n">
        <v>5609</v>
      </c>
      <c r="E20" s="2" t="inlineStr">
        <is>
          <t>GBP</t>
        </is>
      </c>
      <c r="F20" s="2" t="inlineStr">
        <is>
          <t>0001131399-25-000007</t>
        </is>
      </c>
      <c r="G20" s="2" t="inlineStr">
        <is>
          <t>R5.htm</t>
        </is>
      </c>
      <c r="H20" s="2" t="inlineStr">
        <is>
          <t>Contingent consideration liabilities</t>
        </is>
      </c>
      <c r="I20" s="2" t="inlineStr"/>
    </row>
    <row r="21">
      <c r="A21" s="2" t="inlineStr">
        <is>
          <t>GSK</t>
        </is>
      </c>
      <c r="B21" s="2" t="n">
        <v>2024</v>
      </c>
      <c r="C21" s="2" t="inlineStr">
        <is>
          <t>contingent_consideration_noncurrent</t>
        </is>
      </c>
      <c r="D21" s="2" t="n">
        <v>6108</v>
      </c>
      <c r="E21" s="2" t="inlineStr">
        <is>
          <t>GBP</t>
        </is>
      </c>
      <c r="F21" s="2" t="inlineStr">
        <is>
          <t>0001131399-26-000004</t>
        </is>
      </c>
      <c r="G21" s="2" t="inlineStr">
        <is>
          <t>R5.htm</t>
        </is>
      </c>
      <c r="H21" s="2" t="inlineStr">
        <is>
          <t>Contingent consideration liabilities</t>
        </is>
      </c>
      <c r="I21" s="2" t="inlineStr"/>
    </row>
    <row r="22">
      <c r="A22" s="2" t="inlineStr">
        <is>
          <t>GSK</t>
        </is>
      </c>
      <c r="B22" s="2" t="n">
        <v>2025</v>
      </c>
      <c r="C22" s="2" t="inlineStr">
        <is>
          <t>contingent_consideration_noncurrent</t>
        </is>
      </c>
      <c r="D22" s="2" t="n">
        <v>5385</v>
      </c>
      <c r="E22" s="2" t="inlineStr">
        <is>
          <t>GBP</t>
        </is>
      </c>
      <c r="F22" s="2" t="inlineStr">
        <is>
          <t>0001131399-26-000004</t>
        </is>
      </c>
      <c r="G22" s="2" t="inlineStr">
        <is>
          <t>R5.htm</t>
        </is>
      </c>
      <c r="H22" s="2" t="inlineStr">
        <is>
          <t>Contingent consideration liabilities</t>
        </is>
      </c>
      <c r="I22" s="2" t="inlineStr"/>
    </row>
    <row r="23">
      <c r="A23" s="2" t="inlineStr">
        <is>
          <t>GSK</t>
        </is>
      </c>
      <c r="B23" s="2" t="n">
        <v>2023</v>
      </c>
      <c r="C23" s="2" t="inlineStr">
        <is>
          <t>debt_current</t>
        </is>
      </c>
      <c r="D23" s="2" t="n">
        <v>2813</v>
      </c>
      <c r="E23" s="2" t="inlineStr">
        <is>
          <t>GBP</t>
        </is>
      </c>
      <c r="F23" s="2" t="inlineStr">
        <is>
          <t>0001131399-25-000007</t>
        </is>
      </c>
      <c r="G23" s="2" t="inlineStr">
        <is>
          <t>R5.htm</t>
        </is>
      </c>
      <c r="H23" s="2" t="inlineStr">
        <is>
          <t>Short-term borrowings</t>
        </is>
      </c>
      <c r="I23" s="2" t="inlineStr">
        <is>
          <t>Borrowings include lease liabilities</t>
        </is>
      </c>
    </row>
    <row r="24">
      <c r="A24" s="2" t="inlineStr">
        <is>
          <t>GSK</t>
        </is>
      </c>
      <c r="B24" s="2" t="n">
        <v>2024</v>
      </c>
      <c r="C24" s="2" t="inlineStr">
        <is>
          <t>debt_current</t>
        </is>
      </c>
      <c r="D24" s="2" t="n">
        <v>2349</v>
      </c>
      <c r="E24" s="2" t="inlineStr">
        <is>
          <t>GBP</t>
        </is>
      </c>
      <c r="F24" s="2" t="inlineStr">
        <is>
          <t>0001131399-26-000004</t>
        </is>
      </c>
      <c r="G24" s="2" t="inlineStr">
        <is>
          <t>R5.htm</t>
        </is>
      </c>
      <c r="H24" s="2" t="inlineStr">
        <is>
          <t>Short-term borrowings</t>
        </is>
      </c>
      <c r="I24" s="2" t="inlineStr">
        <is>
          <t>Borrowings include lease liabilities</t>
        </is>
      </c>
    </row>
    <row r="25">
      <c r="A25" s="2" t="inlineStr">
        <is>
          <t>GSK</t>
        </is>
      </c>
      <c r="B25" s="2" t="n">
        <v>2025</v>
      </c>
      <c r="C25" s="2" t="inlineStr">
        <is>
          <t>debt_current</t>
        </is>
      </c>
      <c r="D25" s="2" t="n">
        <v>3012</v>
      </c>
      <c r="E25" s="2" t="inlineStr">
        <is>
          <t>GBP</t>
        </is>
      </c>
      <c r="F25" s="2" t="inlineStr">
        <is>
          <t>0001131399-26-000004</t>
        </is>
      </c>
      <c r="G25" s="2" t="inlineStr">
        <is>
          <t>R5.htm</t>
        </is>
      </c>
      <c r="H25" s="2" t="inlineStr">
        <is>
          <t>Short-term borrowings</t>
        </is>
      </c>
      <c r="I25" s="2" t="inlineStr">
        <is>
          <t>Borrowings include lease liabilities</t>
        </is>
      </c>
    </row>
    <row r="26">
      <c r="A26" s="2" t="inlineStr">
        <is>
          <t>GSK</t>
        </is>
      </c>
      <c r="B26" s="2" t="n">
        <v>2023</v>
      </c>
      <c r="C26" s="2" t="inlineStr">
        <is>
          <t>debt_noncurrent</t>
        </is>
      </c>
      <c r="D26" s="2" t="n">
        <v>15205</v>
      </c>
      <c r="E26" s="2" t="inlineStr">
        <is>
          <t>GBP</t>
        </is>
      </c>
      <c r="F26" s="2" t="inlineStr">
        <is>
          <t>0001131399-25-000007</t>
        </is>
      </c>
      <c r="G26" s="2" t="inlineStr">
        <is>
          <t>R5.htm</t>
        </is>
      </c>
      <c r="H26" s="2" t="inlineStr">
        <is>
          <t>Long-term borrowings</t>
        </is>
      </c>
      <c r="I26" s="2" t="inlineStr">
        <is>
          <t>Borrowings include lease liabilities</t>
        </is>
      </c>
    </row>
    <row r="27">
      <c r="A27" s="2" t="inlineStr">
        <is>
          <t>GSK</t>
        </is>
      </c>
      <c r="B27" s="2" t="n">
        <v>2024</v>
      </c>
      <c r="C27" s="2" t="inlineStr">
        <is>
          <t>debt_noncurrent</t>
        </is>
      </c>
      <c r="D27" s="2" t="n">
        <v>14637</v>
      </c>
      <c r="E27" s="2" t="inlineStr">
        <is>
          <t>GBP</t>
        </is>
      </c>
      <c r="F27" s="2" t="inlineStr">
        <is>
          <t>0001131399-26-000004</t>
        </is>
      </c>
      <c r="G27" s="2" t="inlineStr">
        <is>
          <t>R5.htm</t>
        </is>
      </c>
      <c r="H27" s="2" t="inlineStr">
        <is>
          <t>Long-term borrowings</t>
        </is>
      </c>
      <c r="I27" s="2" t="inlineStr">
        <is>
          <t>Borrowings include lease liabilities</t>
        </is>
      </c>
    </row>
    <row r="28">
      <c r="A28" s="2" t="inlineStr">
        <is>
          <t>GSK</t>
        </is>
      </c>
      <c r="B28" s="2" t="n">
        <v>2025</v>
      </c>
      <c r="C28" s="2" t="inlineStr">
        <is>
          <t>debt_noncurrent</t>
        </is>
      </c>
      <c r="D28" s="2" t="n">
        <v>14708</v>
      </c>
      <c r="E28" s="2" t="inlineStr">
        <is>
          <t>GBP</t>
        </is>
      </c>
      <c r="F28" s="2" t="inlineStr">
        <is>
          <t>0001131399-26-000004</t>
        </is>
      </c>
      <c r="G28" s="2" t="inlineStr">
        <is>
          <t>R5.htm</t>
        </is>
      </c>
      <c r="H28" s="2" t="inlineStr">
        <is>
          <t>Long-term borrowings</t>
        </is>
      </c>
      <c r="I28" s="2" t="inlineStr">
        <is>
          <t>Borrowings include lease liabilities</t>
        </is>
      </c>
    </row>
    <row r="29">
      <c r="A29" s="2" t="inlineStr">
        <is>
          <t>GSK</t>
        </is>
      </c>
      <c r="B29" s="2" t="n">
        <v>2023</v>
      </c>
      <c r="C29" s="2" t="inlineStr">
        <is>
          <t>dividends_paid</t>
        </is>
      </c>
      <c r="D29" s="2" t="n">
        <v>2247</v>
      </c>
      <c r="E29" s="2" t="inlineStr">
        <is>
          <t>GBP</t>
        </is>
      </c>
      <c r="F29" s="2" t="inlineStr">
        <is>
          <t>0001131399-26-000004</t>
        </is>
      </c>
      <c r="G29" s="2" t="inlineStr">
        <is>
          <t>R7.htm</t>
        </is>
      </c>
      <c r="H29" s="2" t="inlineStr">
        <is>
          <t>Dividends paid to shareholders</t>
        </is>
      </c>
      <c r="I29" s="2" t="inlineStr"/>
    </row>
    <row r="30">
      <c r="A30" s="2" t="inlineStr">
        <is>
          <t>GSK</t>
        </is>
      </c>
      <c r="B30" s="2" t="n">
        <v>2024</v>
      </c>
      <c r="C30" s="2" t="inlineStr">
        <is>
          <t>dividends_paid</t>
        </is>
      </c>
      <c r="D30" s="2" t="n">
        <v>2444</v>
      </c>
      <c r="E30" s="2" t="inlineStr">
        <is>
          <t>GBP</t>
        </is>
      </c>
      <c r="F30" s="2" t="inlineStr">
        <is>
          <t>0001131399-26-000004</t>
        </is>
      </c>
      <c r="G30" s="2" t="inlineStr">
        <is>
          <t>R7.htm</t>
        </is>
      </c>
      <c r="H30" s="2" t="inlineStr">
        <is>
          <t>Dividends paid to shareholders</t>
        </is>
      </c>
      <c r="I30" s="2" t="inlineStr"/>
    </row>
    <row r="31">
      <c r="A31" s="2" t="inlineStr">
        <is>
          <t>GSK</t>
        </is>
      </c>
      <c r="B31" s="2" t="n">
        <v>2025</v>
      </c>
      <c r="C31" s="2" t="inlineStr">
        <is>
          <t>dividends_paid</t>
        </is>
      </c>
      <c r="D31" s="2" t="n">
        <v>2564</v>
      </c>
      <c r="E31" s="2" t="inlineStr">
        <is>
          <t>GBP</t>
        </is>
      </c>
      <c r="F31" s="2" t="inlineStr">
        <is>
          <t>0001131399-26-000004</t>
        </is>
      </c>
      <c r="G31" s="2" t="inlineStr">
        <is>
          <t>R7.htm</t>
        </is>
      </c>
      <c r="H31" s="2" t="inlineStr">
        <is>
          <t>Dividends paid to shareholders</t>
        </is>
      </c>
      <c r="I31" s="2" t="inlineStr"/>
    </row>
    <row r="32">
      <c r="A32" s="2" t="inlineStr">
        <is>
          <t>GSK</t>
        </is>
      </c>
      <c r="B32" s="2" t="n">
        <v>2023</v>
      </c>
      <c r="C32" s="2" t="inlineStr">
        <is>
          <t>equity_method_investments</t>
        </is>
      </c>
      <c r="D32" s="2" t="n">
        <v>55</v>
      </c>
      <c r="E32" s="2" t="inlineStr">
        <is>
          <t>GBP</t>
        </is>
      </c>
      <c r="F32" s="2" t="inlineStr">
        <is>
          <t>0001131399-25-000007</t>
        </is>
      </c>
      <c r="G32" s="2" t="inlineStr">
        <is>
          <t>R5.htm</t>
        </is>
      </c>
      <c r="H32" s="2" t="inlineStr">
        <is>
          <t>Investments in associates and joint ventures</t>
        </is>
      </c>
      <c r="I32" s="2" t="inlineStr"/>
    </row>
    <row r="33">
      <c r="A33" s="2" t="inlineStr">
        <is>
          <t>GSK</t>
        </is>
      </c>
      <c r="B33" s="2" t="n">
        <v>2024</v>
      </c>
      <c r="C33" s="2" t="inlineStr">
        <is>
          <t>equity_method_investments</t>
        </is>
      </c>
      <c r="D33" s="2" t="n">
        <v>96</v>
      </c>
      <c r="E33" s="2" t="inlineStr">
        <is>
          <t>GBP</t>
        </is>
      </c>
      <c r="F33" s="2" t="inlineStr">
        <is>
          <t>0001131399-26-000004</t>
        </is>
      </c>
      <c r="G33" s="2" t="inlineStr">
        <is>
          <t>R5.htm</t>
        </is>
      </c>
      <c r="H33" s="2" t="inlineStr">
        <is>
          <t>Investments in associates and joint ventures</t>
        </is>
      </c>
      <c r="I33" s="2" t="inlineStr"/>
    </row>
    <row r="34">
      <c r="A34" s="2" t="inlineStr">
        <is>
          <t>GSK</t>
        </is>
      </c>
      <c r="B34" s="2" t="n">
        <v>2025</v>
      </c>
      <c r="C34" s="2" t="inlineStr">
        <is>
          <t>equity_method_investments</t>
        </is>
      </c>
      <c r="D34" s="2" t="n">
        <v>89</v>
      </c>
      <c r="E34" s="2" t="inlineStr">
        <is>
          <t>GBP</t>
        </is>
      </c>
      <c r="F34" s="2" t="inlineStr">
        <is>
          <t>0001131399-26-000004</t>
        </is>
      </c>
      <c r="G34" s="2" t="inlineStr">
        <is>
          <t>R5.htm</t>
        </is>
      </c>
      <c r="H34" s="2" t="inlineStr">
        <is>
          <t>Investments in associates and joint ventures</t>
        </is>
      </c>
      <c r="I34" s="2" t="inlineStr"/>
    </row>
    <row r="35">
      <c r="A35" s="2" t="inlineStr">
        <is>
          <t>GSK</t>
        </is>
      </c>
      <c r="B35" s="2" t="n">
        <v>2023</v>
      </c>
      <c r="C35" s="2" t="inlineStr">
        <is>
          <t>income_tax</t>
        </is>
      </c>
      <c r="D35" s="2" t="n">
        <v>756</v>
      </c>
      <c r="E35" s="2" t="inlineStr">
        <is>
          <t>GBP</t>
        </is>
      </c>
      <c r="F35" s="2" t="inlineStr">
        <is>
          <t>0001131399-26-000004</t>
        </is>
      </c>
      <c r="G35" s="2" t="inlineStr">
        <is>
          <t>R3.htm</t>
        </is>
      </c>
      <c r="H35" s="2" t="inlineStr">
        <is>
          <t>Taxation</t>
        </is>
      </c>
      <c r="I35" s="2" t="inlineStr"/>
    </row>
    <row r="36">
      <c r="A36" s="2" t="inlineStr">
        <is>
          <t>GSK</t>
        </is>
      </c>
      <c r="B36" s="2" t="n">
        <v>2024</v>
      </c>
      <c r="C36" s="2" t="inlineStr">
        <is>
          <t>income_tax</t>
        </is>
      </c>
      <c r="D36" s="2" t="n">
        <v>526</v>
      </c>
      <c r="E36" s="2" t="inlineStr">
        <is>
          <t>GBP</t>
        </is>
      </c>
      <c r="F36" s="2" t="inlineStr">
        <is>
          <t>0001131399-26-000004</t>
        </is>
      </c>
      <c r="G36" s="2" t="inlineStr">
        <is>
          <t>R3.htm</t>
        </is>
      </c>
      <c r="H36" s="2" t="inlineStr">
        <is>
          <t>Taxation</t>
        </is>
      </c>
      <c r="I36" s="2" t="inlineStr"/>
    </row>
    <row r="37">
      <c r="A37" s="2" t="inlineStr">
        <is>
          <t>GSK</t>
        </is>
      </c>
      <c r="B37" s="2" t="n">
        <v>2025</v>
      </c>
      <c r="C37" s="2" t="inlineStr">
        <is>
          <t>income_tax</t>
        </is>
      </c>
      <c r="D37" s="2" t="n">
        <v>1112</v>
      </c>
      <c r="E37" s="2" t="inlineStr">
        <is>
          <t>GBP</t>
        </is>
      </c>
      <c r="F37" s="2" t="inlineStr">
        <is>
          <t>0001131399-26-000004</t>
        </is>
      </c>
      <c r="G37" s="2" t="inlineStr">
        <is>
          <t>R3.htm</t>
        </is>
      </c>
      <c r="H37" s="2" t="inlineStr">
        <is>
          <t>Taxation</t>
        </is>
      </c>
      <c r="I37" s="2" t="inlineStr"/>
    </row>
    <row r="38">
      <c r="A38" s="2" t="inlineStr">
        <is>
          <t>GSK</t>
        </is>
      </c>
      <c r="B38" s="2" t="n">
        <v>2023</v>
      </c>
      <c r="C38" s="2" t="inlineStr">
        <is>
          <t>interest_paid_outside_cfo</t>
        </is>
      </c>
      <c r="D38" s="2" t="n">
        <v>766</v>
      </c>
      <c r="E38" s="2" t="inlineStr">
        <is>
          <t>GBP</t>
        </is>
      </c>
      <c r="F38" s="2" t="inlineStr">
        <is>
          <t>0001131399-26-000004</t>
        </is>
      </c>
      <c r="G38" s="2" t="inlineStr">
        <is>
          <t>R7.htm</t>
        </is>
      </c>
      <c r="H38" s="2" t="inlineStr">
        <is>
          <t>Interest paid</t>
        </is>
      </c>
      <c r="I38" s="2" t="inlineStr">
        <is>
          <t>GSK reports interest paid in financing activities</t>
        </is>
      </c>
    </row>
    <row r="39">
      <c r="A39" s="2" t="inlineStr">
        <is>
          <t>GSK</t>
        </is>
      </c>
      <c r="B39" s="2" t="n">
        <v>2024</v>
      </c>
      <c r="C39" s="2" t="inlineStr">
        <is>
          <t>interest_paid_outside_cfo</t>
        </is>
      </c>
      <c r="D39" s="2" t="n">
        <v>632</v>
      </c>
      <c r="E39" s="2" t="inlineStr">
        <is>
          <t>GBP</t>
        </is>
      </c>
      <c r="F39" s="2" t="inlineStr">
        <is>
          <t>0001131399-26-000004</t>
        </is>
      </c>
      <c r="G39" s="2" t="inlineStr">
        <is>
          <t>R7.htm</t>
        </is>
      </c>
      <c r="H39" s="2" t="inlineStr">
        <is>
          <t>Interest paid</t>
        </is>
      </c>
      <c r="I39" s="2" t="inlineStr">
        <is>
          <t>GSK reports interest paid in financing activities</t>
        </is>
      </c>
    </row>
    <row r="40">
      <c r="A40" s="2" t="inlineStr">
        <is>
          <t>GSK</t>
        </is>
      </c>
      <c r="B40" s="2" t="n">
        <v>2025</v>
      </c>
      <c r="C40" s="2" t="inlineStr">
        <is>
          <t>interest_paid_outside_cfo</t>
        </is>
      </c>
      <c r="D40" s="2" t="n">
        <v>679</v>
      </c>
      <c r="E40" s="2" t="inlineStr">
        <is>
          <t>GBP</t>
        </is>
      </c>
      <c r="F40" s="2" t="inlineStr">
        <is>
          <t>0001131399-26-000004</t>
        </is>
      </c>
      <c r="G40" s="2" t="inlineStr">
        <is>
          <t>R7.htm</t>
        </is>
      </c>
      <c r="H40" s="2" t="inlineStr">
        <is>
          <t>Interest paid</t>
        </is>
      </c>
      <c r="I40" s="2" t="inlineStr">
        <is>
          <t>GSK reports interest paid in financing activities</t>
        </is>
      </c>
    </row>
    <row r="41">
      <c r="A41" s="2" t="inlineStr">
        <is>
          <t>GSK</t>
        </is>
      </c>
      <c r="B41" s="2" t="n">
        <v>2023</v>
      </c>
      <c r="C41" s="2" t="inlineStr">
        <is>
          <t>interest_received_outside_cfo</t>
        </is>
      </c>
      <c r="D41" s="2" t="n">
        <v>115</v>
      </c>
      <c r="E41" s="2" t="inlineStr">
        <is>
          <t>GBP</t>
        </is>
      </c>
      <c r="F41" s="2" t="inlineStr">
        <is>
          <t>0001131399-26-000004</t>
        </is>
      </c>
      <c r="G41" s="2" t="inlineStr">
        <is>
          <t>R7.htm</t>
        </is>
      </c>
      <c r="H41" s="2" t="inlineStr">
        <is>
          <t>Interest received</t>
        </is>
      </c>
      <c r="I41" s="2" t="inlineStr">
        <is>
          <t>GSK reports interest received in investing activities</t>
        </is>
      </c>
    </row>
    <row r="42">
      <c r="A42" s="2" t="inlineStr">
        <is>
          <t>GSK</t>
        </is>
      </c>
      <c r="B42" s="2" t="n">
        <v>2024</v>
      </c>
      <c r="C42" s="2" t="inlineStr">
        <is>
          <t>interest_received_outside_cfo</t>
        </is>
      </c>
      <c r="D42" s="2" t="n">
        <v>138</v>
      </c>
      <c r="E42" s="2" t="inlineStr">
        <is>
          <t>GBP</t>
        </is>
      </c>
      <c r="F42" s="2" t="inlineStr">
        <is>
          <t>0001131399-26-000004</t>
        </is>
      </c>
      <c r="G42" s="2" t="inlineStr">
        <is>
          <t>R7.htm</t>
        </is>
      </c>
      <c r="H42" s="2" t="inlineStr">
        <is>
          <t>Interest received</t>
        </is>
      </c>
      <c r="I42" s="2" t="inlineStr">
        <is>
          <t>GSK reports interest received in investing activities</t>
        </is>
      </c>
    </row>
    <row r="43">
      <c r="A43" s="2" t="inlineStr">
        <is>
          <t>GSK</t>
        </is>
      </c>
      <c r="B43" s="2" t="n">
        <v>2025</v>
      </c>
      <c r="C43" s="2" t="inlineStr">
        <is>
          <t>interest_received_outside_cfo</t>
        </is>
      </c>
      <c r="D43" s="2" t="n">
        <v>154</v>
      </c>
      <c r="E43" s="2" t="inlineStr">
        <is>
          <t>GBP</t>
        </is>
      </c>
      <c r="F43" s="2" t="inlineStr">
        <is>
          <t>0001131399-26-000004</t>
        </is>
      </c>
      <c r="G43" s="2" t="inlineStr">
        <is>
          <t>R7.htm</t>
        </is>
      </c>
      <c r="H43" s="2" t="inlineStr">
        <is>
          <t>Interest received</t>
        </is>
      </c>
      <c r="I43" s="2" t="inlineStr">
        <is>
          <t>GSK reports interest received in investing activities</t>
        </is>
      </c>
    </row>
    <row r="44">
      <c r="A44" s="2" t="inlineStr">
        <is>
          <t>GSK</t>
        </is>
      </c>
      <c r="B44" s="2" t="n">
        <v>2023</v>
      </c>
      <c r="C44" s="2" t="inlineStr">
        <is>
          <t>inventories</t>
        </is>
      </c>
      <c r="D44" s="2" t="n">
        <v>5498</v>
      </c>
      <c r="E44" s="2" t="inlineStr">
        <is>
          <t>GBP</t>
        </is>
      </c>
      <c r="F44" s="2" t="inlineStr">
        <is>
          <t>0001131399-25-000007</t>
        </is>
      </c>
      <c r="G44" s="2" t="inlineStr">
        <is>
          <t>R5.htm</t>
        </is>
      </c>
      <c r="H44" s="2" t="inlineStr">
        <is>
          <t>Inventories</t>
        </is>
      </c>
      <c r="I44" s="2" t="inlineStr"/>
    </row>
    <row r="45">
      <c r="A45" s="2" t="inlineStr">
        <is>
          <t>GSK</t>
        </is>
      </c>
      <c r="B45" s="2" t="n">
        <v>2024</v>
      </c>
      <c r="C45" s="2" t="inlineStr">
        <is>
          <t>inventories</t>
        </is>
      </c>
      <c r="D45" s="2" t="n">
        <v>5669</v>
      </c>
      <c r="E45" s="2" t="inlineStr">
        <is>
          <t>GBP</t>
        </is>
      </c>
      <c r="F45" s="2" t="inlineStr">
        <is>
          <t>0001131399-26-000004</t>
        </is>
      </c>
      <c r="G45" s="2" t="inlineStr">
        <is>
          <t>R5.htm</t>
        </is>
      </c>
      <c r="H45" s="2" t="inlineStr">
        <is>
          <t>Inventories</t>
        </is>
      </c>
      <c r="I45" s="2" t="inlineStr"/>
    </row>
    <row r="46">
      <c r="A46" s="2" t="inlineStr">
        <is>
          <t>GSK</t>
        </is>
      </c>
      <c r="B46" s="2" t="n">
        <v>2025</v>
      </c>
      <c r="C46" s="2" t="inlineStr">
        <is>
          <t>inventories</t>
        </is>
      </c>
      <c r="D46" s="2" t="n">
        <v>5924</v>
      </c>
      <c r="E46" s="2" t="inlineStr">
        <is>
          <t>GBP</t>
        </is>
      </c>
      <c r="F46" s="2" t="inlineStr">
        <is>
          <t>0001131399-26-000004</t>
        </is>
      </c>
      <c r="G46" s="2" t="inlineStr">
        <is>
          <t>R5.htm</t>
        </is>
      </c>
      <c r="H46" s="2" t="inlineStr">
        <is>
          <t>Inventories</t>
        </is>
      </c>
      <c r="I46" s="2" t="inlineStr"/>
    </row>
    <row r="47">
      <c r="A47" s="2" t="inlineStr">
        <is>
          <t>GSK</t>
        </is>
      </c>
      <c r="B47" s="2" t="n">
        <v>2023</v>
      </c>
      <c r="C47" s="2" t="inlineStr">
        <is>
          <t>lease_principal</t>
        </is>
      </c>
      <c r="D47" s="2" t="n">
        <v>197</v>
      </c>
      <c r="E47" s="2" t="inlineStr">
        <is>
          <t>GBP</t>
        </is>
      </c>
      <c r="F47" s="2" t="inlineStr">
        <is>
          <t>0001131399-26-000004</t>
        </is>
      </c>
      <c r="G47" s="2" t="inlineStr">
        <is>
          <t>R7.htm</t>
        </is>
      </c>
      <c r="H47" s="2" t="inlineStr">
        <is>
          <t>Repayment of lease liabilities</t>
        </is>
      </c>
      <c r="I47" s="2" t="inlineStr"/>
    </row>
    <row r="48">
      <c r="A48" s="2" t="inlineStr">
        <is>
          <t>GSK</t>
        </is>
      </c>
      <c r="B48" s="2" t="n">
        <v>2024</v>
      </c>
      <c r="C48" s="2" t="inlineStr">
        <is>
          <t>lease_principal</t>
        </is>
      </c>
      <c r="D48" s="2" t="n">
        <v>226</v>
      </c>
      <c r="E48" s="2" t="inlineStr">
        <is>
          <t>GBP</t>
        </is>
      </c>
      <c r="F48" s="2" t="inlineStr">
        <is>
          <t>0001131399-26-000004</t>
        </is>
      </c>
      <c r="G48" s="2" t="inlineStr">
        <is>
          <t>R7.htm</t>
        </is>
      </c>
      <c r="H48" s="2" t="inlineStr">
        <is>
          <t>Repayment of lease liabilities</t>
        </is>
      </c>
      <c r="I48" s="2" t="inlineStr"/>
    </row>
    <row r="49">
      <c r="A49" s="2" t="inlineStr">
        <is>
          <t>GSK</t>
        </is>
      </c>
      <c r="B49" s="2" t="n">
        <v>2025</v>
      </c>
      <c r="C49" s="2" t="inlineStr">
        <is>
          <t>lease_principal</t>
        </is>
      </c>
      <c r="D49" s="2" t="n">
        <v>241</v>
      </c>
      <c r="E49" s="2" t="inlineStr">
        <is>
          <t>GBP</t>
        </is>
      </c>
      <c r="F49" s="2" t="inlineStr">
        <is>
          <t>0001131399-26-000004</t>
        </is>
      </c>
      <c r="G49" s="2" t="inlineStr">
        <is>
          <t>R7.htm</t>
        </is>
      </c>
      <c r="H49" s="2" t="inlineStr">
        <is>
          <t>Repayment of lease liabilities</t>
        </is>
      </c>
      <c r="I49" s="2" t="inlineStr"/>
    </row>
    <row r="50">
      <c r="A50" s="2" t="inlineStr">
        <is>
          <t>GSK</t>
        </is>
      </c>
      <c r="B50" s="2" t="n">
        <v>2023</v>
      </c>
      <c r="C50" s="2" t="inlineStr">
        <is>
          <t>nci_book</t>
        </is>
      </c>
      <c r="D50" s="2" t="n">
        <v>-552</v>
      </c>
      <c r="E50" s="2" t="inlineStr">
        <is>
          <t>GBP</t>
        </is>
      </c>
      <c r="F50" s="2" t="inlineStr">
        <is>
          <t>0001131399-25-000007</t>
        </is>
      </c>
      <c r="G50" s="2" t="inlineStr">
        <is>
          <t>R5.htm</t>
        </is>
      </c>
      <c r="H50" s="2" t="inlineStr">
        <is>
          <t>Non-controlling interests</t>
        </is>
      </c>
      <c r="I50" s="2" t="inlineStr">
        <is>
          <t>Negative book value; see the bridge notes</t>
        </is>
      </c>
    </row>
    <row r="51">
      <c r="A51" s="2" t="inlineStr">
        <is>
          <t>GSK</t>
        </is>
      </c>
      <c r="B51" s="2" t="n">
        <v>2024</v>
      </c>
      <c r="C51" s="2" t="inlineStr">
        <is>
          <t>nci_book</t>
        </is>
      </c>
      <c r="D51" s="2" t="n">
        <v>-585</v>
      </c>
      <c r="E51" s="2" t="inlineStr">
        <is>
          <t>GBP</t>
        </is>
      </c>
      <c r="F51" s="2" t="inlineStr">
        <is>
          <t>0001131399-26-000004</t>
        </is>
      </c>
      <c r="G51" s="2" t="inlineStr">
        <is>
          <t>R5.htm</t>
        </is>
      </c>
      <c r="H51" s="2" t="inlineStr">
        <is>
          <t>Non-controlling interests</t>
        </is>
      </c>
      <c r="I51" s="2" t="inlineStr">
        <is>
          <t>Negative book value; see the bridge notes</t>
        </is>
      </c>
    </row>
    <row r="52">
      <c r="A52" s="2" t="inlineStr">
        <is>
          <t>GSK</t>
        </is>
      </c>
      <c r="B52" s="2" t="n">
        <v>2025</v>
      </c>
      <c r="C52" s="2" t="inlineStr">
        <is>
          <t>nci_book</t>
        </is>
      </c>
      <c r="D52" s="2" t="n">
        <v>-421</v>
      </c>
      <c r="E52" s="2" t="inlineStr">
        <is>
          <t>GBP</t>
        </is>
      </c>
      <c r="F52" s="2" t="inlineStr">
        <is>
          <t>0001131399-26-000004</t>
        </is>
      </c>
      <c r="G52" s="2" t="inlineStr">
        <is>
          <t>R5.htm</t>
        </is>
      </c>
      <c r="H52" s="2" t="inlineStr">
        <is>
          <t>Non-controlling interests</t>
        </is>
      </c>
      <c r="I52" s="2" t="inlineStr">
        <is>
          <t>Negative book value; see the bridge notes</t>
        </is>
      </c>
    </row>
    <row r="53">
      <c r="A53" s="2" t="inlineStr">
        <is>
          <t>GSK</t>
        </is>
      </c>
      <c r="B53" s="2" t="n">
        <v>2023</v>
      </c>
      <c r="C53" s="2" t="inlineStr">
        <is>
          <t>nci_profit</t>
        </is>
      </c>
      <c r="D53" s="2" t="n">
        <v>380</v>
      </c>
      <c r="E53" s="2" t="inlineStr">
        <is>
          <t>GBP</t>
        </is>
      </c>
      <c r="F53" s="2" t="inlineStr">
        <is>
          <t>0001131399-26-000004</t>
        </is>
      </c>
      <c r="G53" s="2" t="inlineStr">
        <is>
          <t>R3.htm</t>
        </is>
      </c>
      <c r="H53" s="2" t="inlineStr">
        <is>
          <t>Profit attributable to non-controlling interests</t>
        </is>
      </c>
      <c r="I53" s="2" t="inlineStr"/>
    </row>
    <row r="54">
      <c r="A54" s="2" t="inlineStr">
        <is>
          <t>GSK</t>
        </is>
      </c>
      <c r="B54" s="2" t="n">
        <v>2024</v>
      </c>
      <c r="C54" s="2" t="inlineStr">
        <is>
          <t>nci_profit</t>
        </is>
      </c>
      <c r="D54" s="2" t="n">
        <v>376</v>
      </c>
      <c r="E54" s="2" t="inlineStr">
        <is>
          <t>GBP</t>
        </is>
      </c>
      <c r="F54" s="2" t="inlineStr">
        <is>
          <t>0001131399-26-000004</t>
        </is>
      </c>
      <c r="G54" s="2" t="inlineStr">
        <is>
          <t>R3.htm</t>
        </is>
      </c>
      <c r="H54" s="2" t="inlineStr">
        <is>
          <t>Profit attributable to non-controlling interests</t>
        </is>
      </c>
      <c r="I54" s="2" t="inlineStr"/>
    </row>
    <row r="55">
      <c r="A55" s="2" t="inlineStr">
        <is>
          <t>GSK</t>
        </is>
      </c>
      <c r="B55" s="2" t="n">
        <v>2025</v>
      </c>
      <c r="C55" s="2" t="inlineStr">
        <is>
          <t>nci_profit</t>
        </is>
      </c>
      <c r="D55" s="2" t="n">
        <v>573</v>
      </c>
      <c r="E55" s="2" t="inlineStr">
        <is>
          <t>GBP</t>
        </is>
      </c>
      <c r="F55" s="2" t="inlineStr">
        <is>
          <t>0001131399-26-000004</t>
        </is>
      </c>
      <c r="G55" s="2" t="inlineStr">
        <is>
          <t>R3.htm</t>
        </is>
      </c>
      <c r="H55" s="2" t="inlineStr">
        <is>
          <t>Profit attributable to non-controlling interests</t>
        </is>
      </c>
      <c r="I55" s="2" t="inlineStr"/>
    </row>
    <row r="56">
      <c r="A56" s="2" t="inlineStr">
        <is>
          <t>GSK</t>
        </is>
      </c>
      <c r="B56" s="2" t="n">
        <v>2023</v>
      </c>
      <c r="C56" s="2" t="inlineStr">
        <is>
          <t>net_income</t>
        </is>
      </c>
      <c r="D56" s="2" t="n">
        <v>5308</v>
      </c>
      <c r="E56" s="2" t="inlineStr">
        <is>
          <t>GBP</t>
        </is>
      </c>
      <c r="F56" s="2" t="inlineStr">
        <is>
          <t>0001131399-26-000004</t>
        </is>
      </c>
      <c r="G56" s="2" t="inlineStr">
        <is>
          <t>R3.htm</t>
        </is>
      </c>
      <c r="H56" s="2" t="inlineStr">
        <is>
          <t>Profit after taxation</t>
        </is>
      </c>
      <c r="I56" s="2" t="inlineStr"/>
    </row>
    <row r="57">
      <c r="A57" s="2" t="inlineStr">
        <is>
          <t>GSK</t>
        </is>
      </c>
      <c r="B57" s="2" t="n">
        <v>2024</v>
      </c>
      <c r="C57" s="2" t="inlineStr">
        <is>
          <t>net_income</t>
        </is>
      </c>
      <c r="D57" s="2" t="n">
        <v>2951</v>
      </c>
      <c r="E57" s="2" t="inlineStr">
        <is>
          <t>GBP</t>
        </is>
      </c>
      <c r="F57" s="2" t="inlineStr">
        <is>
          <t>0001131399-26-000004</t>
        </is>
      </c>
      <c r="G57" s="2" t="inlineStr">
        <is>
          <t>R3.htm</t>
        </is>
      </c>
      <c r="H57" s="2" t="inlineStr">
        <is>
          <t>Profit after taxation</t>
        </is>
      </c>
      <c r="I57" s="2" t="inlineStr"/>
    </row>
    <row r="58">
      <c r="A58" s="2" t="inlineStr">
        <is>
          <t>GSK</t>
        </is>
      </c>
      <c r="B58" s="2" t="n">
        <v>2025</v>
      </c>
      <c r="C58" s="2" t="inlineStr">
        <is>
          <t>net_income</t>
        </is>
      </c>
      <c r="D58" s="2" t="n">
        <v>6289</v>
      </c>
      <c r="E58" s="2" t="inlineStr">
        <is>
          <t>GBP</t>
        </is>
      </c>
      <c r="F58" s="2" t="inlineStr">
        <is>
          <t>0001131399-26-000004</t>
        </is>
      </c>
      <c r="G58" s="2" t="inlineStr">
        <is>
          <t>R3.htm</t>
        </is>
      </c>
      <c r="H58" s="2" t="inlineStr">
        <is>
          <t>Profit after taxation</t>
        </is>
      </c>
      <c r="I58" s="2" t="inlineStr"/>
    </row>
    <row r="59">
      <c r="A59" s="2" t="inlineStr">
        <is>
          <t>GSK</t>
        </is>
      </c>
      <c r="B59" s="2" t="n">
        <v>2023</v>
      </c>
      <c r="C59" s="2" t="inlineStr">
        <is>
          <t>operating_income</t>
        </is>
      </c>
      <c r="D59" s="2" t="n">
        <v>6745</v>
      </c>
      <c r="E59" s="2" t="inlineStr">
        <is>
          <t>GBP</t>
        </is>
      </c>
      <c r="F59" s="2" t="inlineStr">
        <is>
          <t>0001131399-26-000004</t>
        </is>
      </c>
      <c r="G59" s="2" t="inlineStr">
        <is>
          <t>R3.htm</t>
        </is>
      </c>
      <c r="H59" s="2" t="inlineStr">
        <is>
          <t>Operating profit</t>
        </is>
      </c>
      <c r="I59" s="2" t="inlineStr"/>
    </row>
    <row r="60">
      <c r="A60" s="2" t="inlineStr">
        <is>
          <t>GSK</t>
        </is>
      </c>
      <c r="B60" s="2" t="n">
        <v>2024</v>
      </c>
      <c r="C60" s="2" t="inlineStr">
        <is>
          <t>operating_income</t>
        </is>
      </c>
      <c r="D60" s="2" t="n">
        <v>4021</v>
      </c>
      <c r="E60" s="2" t="inlineStr">
        <is>
          <t>GBP</t>
        </is>
      </c>
      <c r="F60" s="2" t="inlineStr">
        <is>
          <t>0001131399-26-000004</t>
        </is>
      </c>
      <c r="G60" s="2" t="inlineStr">
        <is>
          <t>R3.htm</t>
        </is>
      </c>
      <c r="H60" s="2" t="inlineStr">
        <is>
          <t>Operating profit</t>
        </is>
      </c>
      <c r="I60" s="2" t="inlineStr"/>
    </row>
    <row r="61">
      <c r="A61" s="2" t="inlineStr">
        <is>
          <t>GSK</t>
        </is>
      </c>
      <c r="B61" s="2" t="n">
        <v>2025</v>
      </c>
      <c r="C61" s="2" t="inlineStr">
        <is>
          <t>operating_income</t>
        </is>
      </c>
      <c r="D61" s="2" t="n">
        <v>7932</v>
      </c>
      <c r="E61" s="2" t="inlineStr">
        <is>
          <t>GBP</t>
        </is>
      </c>
      <c r="F61" s="2" t="inlineStr">
        <is>
          <t>0001131399-26-000004</t>
        </is>
      </c>
      <c r="G61" s="2" t="inlineStr">
        <is>
          <t>R3.htm</t>
        </is>
      </c>
      <c r="H61" s="2" t="inlineStr">
        <is>
          <t>Operating profit</t>
        </is>
      </c>
      <c r="I61" s="2" t="inlineStr"/>
    </row>
    <row r="62">
      <c r="A62" s="2" t="inlineStr">
        <is>
          <t>GSK</t>
        </is>
      </c>
      <c r="B62" s="2" t="n">
        <v>2023</v>
      </c>
      <c r="C62" s="2" t="inlineStr">
        <is>
          <t>other_financial_assets</t>
        </is>
      </c>
      <c r="D62" s="2" t="n">
        <v>1137</v>
      </c>
      <c r="E62" s="2" t="inlineStr">
        <is>
          <t>GBP</t>
        </is>
      </c>
      <c r="F62" s="2" t="inlineStr">
        <is>
          <t>0001131399-25-000007</t>
        </is>
      </c>
      <c r="G62" s="2" t="inlineStr">
        <is>
          <t>R5.htm</t>
        </is>
      </c>
      <c r="H62" s="2" t="inlineStr">
        <is>
          <t>Other investments</t>
        </is>
      </c>
      <c r="I62" s="2" t="inlineStr">
        <is>
          <t>Non-current investments, book value</t>
        </is>
      </c>
    </row>
    <row r="63">
      <c r="A63" s="2" t="inlineStr">
        <is>
          <t>GSK</t>
        </is>
      </c>
      <c r="B63" s="2" t="n">
        <v>2024</v>
      </c>
      <c r="C63" s="2" t="inlineStr">
        <is>
          <t>other_financial_assets</t>
        </is>
      </c>
      <c r="D63" s="2" t="n">
        <v>1100</v>
      </c>
      <c r="E63" s="2" t="inlineStr">
        <is>
          <t>GBP</t>
        </is>
      </c>
      <c r="F63" s="2" t="inlineStr">
        <is>
          <t>0001131399-26-000004</t>
        </is>
      </c>
      <c r="G63" s="2" t="inlineStr">
        <is>
          <t>R5.htm</t>
        </is>
      </c>
      <c r="H63" s="2" t="inlineStr">
        <is>
          <t>Other investments</t>
        </is>
      </c>
      <c r="I63" s="2" t="inlineStr">
        <is>
          <t>Non-current investments, book value</t>
        </is>
      </c>
    </row>
    <row r="64">
      <c r="A64" s="2" t="inlineStr">
        <is>
          <t>GSK</t>
        </is>
      </c>
      <c r="B64" s="2" t="n">
        <v>2025</v>
      </c>
      <c r="C64" s="2" t="inlineStr">
        <is>
          <t>other_financial_assets</t>
        </is>
      </c>
      <c r="D64" s="2" t="n">
        <v>1037</v>
      </c>
      <c r="E64" s="2" t="inlineStr">
        <is>
          <t>GBP</t>
        </is>
      </c>
      <c r="F64" s="2" t="inlineStr">
        <is>
          <t>0001131399-26-000004</t>
        </is>
      </c>
      <c r="G64" s="2" t="inlineStr">
        <is>
          <t>R5.htm</t>
        </is>
      </c>
      <c r="H64" s="2" t="inlineStr">
        <is>
          <t>Other investments</t>
        </is>
      </c>
      <c r="I64" s="2" t="inlineStr">
        <is>
          <t>Non-current investments, book value</t>
        </is>
      </c>
    </row>
    <row r="65">
      <c r="A65" s="2" t="inlineStr">
        <is>
          <t>GSK</t>
        </is>
      </c>
      <c r="B65" s="2" t="n">
        <v>2023</v>
      </c>
      <c r="C65" s="2" t="inlineStr">
        <is>
          <t>payables</t>
        </is>
      </c>
      <c r="D65" s="2" t="n">
        <v>15844</v>
      </c>
      <c r="E65" s="2" t="inlineStr">
        <is>
          <t>GBP</t>
        </is>
      </c>
      <c r="F65" s="2" t="inlineStr">
        <is>
          <t>0001131399-25-000007</t>
        </is>
      </c>
      <c r="G65" s="2" t="inlineStr">
        <is>
          <t>R5.htm</t>
        </is>
      </c>
      <c r="H65" s="2" t="inlineStr">
        <is>
          <t>Trade and other payables</t>
        </is>
      </c>
      <c r="I65" s="2" t="inlineStr"/>
    </row>
    <row r="66">
      <c r="A66" s="2" t="inlineStr">
        <is>
          <t>GSK</t>
        </is>
      </c>
      <c r="B66" s="2" t="n">
        <v>2024</v>
      </c>
      <c r="C66" s="2" t="inlineStr">
        <is>
          <t>payables</t>
        </is>
      </c>
      <c r="D66" s="2" t="n">
        <v>15335</v>
      </c>
      <c r="E66" s="2" t="inlineStr">
        <is>
          <t>GBP</t>
        </is>
      </c>
      <c r="F66" s="2" t="inlineStr">
        <is>
          <t>0001131399-26-000004</t>
        </is>
      </c>
      <c r="G66" s="2" t="inlineStr">
        <is>
          <t>R5.htm</t>
        </is>
      </c>
      <c r="H66" s="2" t="inlineStr">
        <is>
          <t>Trade and other payables</t>
        </is>
      </c>
      <c r="I66" s="2" t="inlineStr"/>
    </row>
    <row r="67">
      <c r="A67" s="2" t="inlineStr">
        <is>
          <t>GSK</t>
        </is>
      </c>
      <c r="B67" s="2" t="n">
        <v>2025</v>
      </c>
      <c r="C67" s="2" t="inlineStr">
        <is>
          <t>payables</t>
        </is>
      </c>
      <c r="D67" s="2" t="n">
        <v>15381</v>
      </c>
      <c r="E67" s="2" t="inlineStr">
        <is>
          <t>GBP</t>
        </is>
      </c>
      <c r="F67" s="2" t="inlineStr">
        <is>
          <t>0001131399-26-000004</t>
        </is>
      </c>
      <c r="G67" s="2" t="inlineStr">
        <is>
          <t>R5.htm</t>
        </is>
      </c>
      <c r="H67" s="2" t="inlineStr">
        <is>
          <t>Trade and other payables</t>
        </is>
      </c>
      <c r="I67" s="2" t="inlineStr"/>
    </row>
    <row r="68">
      <c r="A68" s="2" t="inlineStr">
        <is>
          <t>GSK</t>
        </is>
      </c>
      <c r="B68" s="2" t="n">
        <v>2023</v>
      </c>
      <c r="C68" s="2" t="inlineStr">
        <is>
          <t>pension_liability</t>
        </is>
      </c>
      <c r="D68" s="2" t="n">
        <v>2340</v>
      </c>
      <c r="E68" s="2" t="inlineStr">
        <is>
          <t>GBP</t>
        </is>
      </c>
      <c r="F68" s="2" t="inlineStr">
        <is>
          <t>0001131399-25-000007</t>
        </is>
      </c>
      <c r="G68" s="2" t="inlineStr">
        <is>
          <t>R5.htm</t>
        </is>
      </c>
      <c r="H68" s="2" t="inlineStr">
        <is>
          <t>Pensions and other post-employment benefits</t>
        </is>
      </c>
      <c r="I68" s="2" t="inlineStr"/>
    </row>
    <row r="69">
      <c r="A69" s="2" t="inlineStr">
        <is>
          <t>GSK</t>
        </is>
      </c>
      <c r="B69" s="2" t="n">
        <v>2024</v>
      </c>
      <c r="C69" s="2" t="inlineStr">
        <is>
          <t>pension_liability</t>
        </is>
      </c>
      <c r="D69" s="2" t="n">
        <v>1864</v>
      </c>
      <c r="E69" s="2" t="inlineStr">
        <is>
          <t>GBP</t>
        </is>
      </c>
      <c r="F69" s="2" t="inlineStr">
        <is>
          <t>0001131399-26-000004</t>
        </is>
      </c>
      <c r="G69" s="2" t="inlineStr">
        <is>
          <t>R5.htm</t>
        </is>
      </c>
      <c r="H69" s="2" t="inlineStr">
        <is>
          <t>Pensions and other post-employment benefits</t>
        </is>
      </c>
      <c r="I69" s="2" t="inlineStr"/>
    </row>
    <row r="70">
      <c r="A70" s="2" t="inlineStr">
        <is>
          <t>GSK</t>
        </is>
      </c>
      <c r="B70" s="2" t="n">
        <v>2025</v>
      </c>
      <c r="C70" s="2" t="inlineStr">
        <is>
          <t>pension_liability</t>
        </is>
      </c>
      <c r="D70" s="2" t="n">
        <v>1687</v>
      </c>
      <c r="E70" s="2" t="inlineStr">
        <is>
          <t>GBP</t>
        </is>
      </c>
      <c r="F70" s="2" t="inlineStr">
        <is>
          <t>0001131399-26-000004</t>
        </is>
      </c>
      <c r="G70" s="2" t="inlineStr">
        <is>
          <t>R5.htm</t>
        </is>
      </c>
      <c r="H70" s="2" t="inlineStr">
        <is>
          <t>Pensions and other post-employment benefits</t>
        </is>
      </c>
      <c r="I70" s="2" t="inlineStr"/>
    </row>
    <row r="71">
      <c r="A71" s="2" t="inlineStr">
        <is>
          <t>GSK</t>
        </is>
      </c>
      <c r="B71" s="2" t="n">
        <v>2023</v>
      </c>
      <c r="C71" s="2" t="inlineStr">
        <is>
          <t>pretax_income</t>
        </is>
      </c>
      <c r="D71" s="2" t="n">
        <v>6064</v>
      </c>
      <c r="E71" s="2" t="inlineStr">
        <is>
          <t>GBP</t>
        </is>
      </c>
      <c r="F71" s="2" t="inlineStr">
        <is>
          <t>0001131399-26-000004</t>
        </is>
      </c>
      <c r="G71" s="2" t="inlineStr">
        <is>
          <t>R3.htm</t>
        </is>
      </c>
      <c r="H71" s="2" t="inlineStr">
        <is>
          <t>Profit before taxation</t>
        </is>
      </c>
      <c r="I71" s="2" t="inlineStr"/>
    </row>
    <row r="72">
      <c r="A72" s="2" t="inlineStr">
        <is>
          <t>GSK</t>
        </is>
      </c>
      <c r="B72" s="2" t="n">
        <v>2024</v>
      </c>
      <c r="C72" s="2" t="inlineStr">
        <is>
          <t>pretax_income</t>
        </is>
      </c>
      <c r="D72" s="2" t="n">
        <v>3477</v>
      </c>
      <c r="E72" s="2" t="inlineStr">
        <is>
          <t>GBP</t>
        </is>
      </c>
      <c r="F72" s="2" t="inlineStr">
        <is>
          <t>0001131399-26-000004</t>
        </is>
      </c>
      <c r="G72" s="2" t="inlineStr">
        <is>
          <t>R3.htm</t>
        </is>
      </c>
      <c r="H72" s="2" t="inlineStr">
        <is>
          <t>Profit before taxation</t>
        </is>
      </c>
      <c r="I72" s="2" t="inlineStr"/>
    </row>
    <row r="73">
      <c r="A73" s="2" t="inlineStr">
        <is>
          <t>GSK</t>
        </is>
      </c>
      <c r="B73" s="2" t="n">
        <v>2025</v>
      </c>
      <c r="C73" s="2" t="inlineStr">
        <is>
          <t>pretax_income</t>
        </is>
      </c>
      <c r="D73" s="2" t="n">
        <v>7401</v>
      </c>
      <c r="E73" s="2" t="inlineStr">
        <is>
          <t>GBP</t>
        </is>
      </c>
      <c r="F73" s="2" t="inlineStr">
        <is>
          <t>0001131399-26-000004</t>
        </is>
      </c>
      <c r="G73" s="2" t="inlineStr">
        <is>
          <t>R3.htm</t>
        </is>
      </c>
      <c r="H73" s="2" t="inlineStr">
        <is>
          <t>Profit before taxation</t>
        </is>
      </c>
      <c r="I73" s="2" t="inlineStr"/>
    </row>
    <row r="74">
      <c r="A74" s="2" t="inlineStr">
        <is>
          <t>GSK</t>
        </is>
      </c>
      <c r="B74" s="2" t="n">
        <v>2023</v>
      </c>
      <c r="C74" s="2" t="inlineStr">
        <is>
          <t>r_and_d</t>
        </is>
      </c>
      <c r="D74" s="2" t="n">
        <v>6223</v>
      </c>
      <c r="E74" s="2" t="inlineStr">
        <is>
          <t>GBP</t>
        </is>
      </c>
      <c r="F74" s="2" t="inlineStr">
        <is>
          <t>0001131399-26-000004</t>
        </is>
      </c>
      <c r="G74" s="2" t="inlineStr">
        <is>
          <t>R3.htm</t>
        </is>
      </c>
      <c r="H74" s="2" t="inlineStr">
        <is>
          <t>Research and development</t>
        </is>
      </c>
      <c r="I74" s="2" t="inlineStr"/>
    </row>
    <row r="75">
      <c r="A75" s="2" t="inlineStr">
        <is>
          <t>GSK</t>
        </is>
      </c>
      <c r="B75" s="2" t="n">
        <v>2024</v>
      </c>
      <c r="C75" s="2" t="inlineStr">
        <is>
          <t>r_and_d</t>
        </is>
      </c>
      <c r="D75" s="2" t="n">
        <v>6401</v>
      </c>
      <c r="E75" s="2" t="inlineStr">
        <is>
          <t>GBP</t>
        </is>
      </c>
      <c r="F75" s="2" t="inlineStr">
        <is>
          <t>0001131399-26-000004</t>
        </is>
      </c>
      <c r="G75" s="2" t="inlineStr">
        <is>
          <t>R3.htm</t>
        </is>
      </c>
      <c r="H75" s="2" t="inlineStr">
        <is>
          <t>Research and development</t>
        </is>
      </c>
      <c r="I75" s="2" t="inlineStr"/>
    </row>
    <row r="76">
      <c r="A76" s="2" t="inlineStr">
        <is>
          <t>GSK</t>
        </is>
      </c>
      <c r="B76" s="2" t="n">
        <v>2025</v>
      </c>
      <c r="C76" s="2" t="inlineStr">
        <is>
          <t>r_and_d</t>
        </is>
      </c>
      <c r="D76" s="2" t="n">
        <v>7525</v>
      </c>
      <c r="E76" s="2" t="inlineStr">
        <is>
          <t>GBP</t>
        </is>
      </c>
      <c r="F76" s="2" t="inlineStr">
        <is>
          <t>0001131399-26-000004</t>
        </is>
      </c>
      <c r="G76" s="2" t="inlineStr">
        <is>
          <t>R3.htm</t>
        </is>
      </c>
      <c r="H76" s="2" t="inlineStr">
        <is>
          <t>Research and development</t>
        </is>
      </c>
      <c r="I76" s="2" t="inlineStr"/>
    </row>
    <row r="77">
      <c r="A77" s="2" t="inlineStr">
        <is>
          <t>GSK</t>
        </is>
      </c>
      <c r="B77" s="2" t="n">
        <v>2023</v>
      </c>
      <c r="C77" s="2" t="inlineStr">
        <is>
          <t>receivables</t>
        </is>
      </c>
      <c r="D77" s="2" t="n">
        <v>7385</v>
      </c>
      <c r="E77" s="2" t="inlineStr">
        <is>
          <t>GBP</t>
        </is>
      </c>
      <c r="F77" s="2" t="inlineStr">
        <is>
          <t>0001131399-25-000007</t>
        </is>
      </c>
      <c r="G77" s="2" t="inlineStr">
        <is>
          <t>R5.htm</t>
        </is>
      </c>
      <c r="H77" s="2" t="inlineStr">
        <is>
          <t>Trade and other receivables</t>
        </is>
      </c>
      <c r="I77" s="2" t="inlineStr"/>
    </row>
    <row r="78">
      <c r="A78" s="2" t="inlineStr">
        <is>
          <t>GSK</t>
        </is>
      </c>
      <c r="B78" s="2" t="n">
        <v>2024</v>
      </c>
      <c r="C78" s="2" t="inlineStr">
        <is>
          <t>receivables</t>
        </is>
      </c>
      <c r="D78" s="2" t="n">
        <v>6836</v>
      </c>
      <c r="E78" s="2" t="inlineStr">
        <is>
          <t>GBP</t>
        </is>
      </c>
      <c r="F78" s="2" t="inlineStr">
        <is>
          <t>0001131399-26-000004</t>
        </is>
      </c>
      <c r="G78" s="2" t="inlineStr">
        <is>
          <t>R5.htm</t>
        </is>
      </c>
      <c r="H78" s="2" t="inlineStr">
        <is>
          <t>Trade and other receivables</t>
        </is>
      </c>
      <c r="I78" s="2" t="inlineStr"/>
    </row>
    <row r="79">
      <c r="A79" s="2" t="inlineStr">
        <is>
          <t>GSK</t>
        </is>
      </c>
      <c r="B79" s="2" t="n">
        <v>2025</v>
      </c>
      <c r="C79" s="2" t="inlineStr">
        <is>
          <t>receivables</t>
        </is>
      </c>
      <c r="D79" s="2" t="n">
        <v>7471</v>
      </c>
      <c r="E79" s="2" t="inlineStr">
        <is>
          <t>GBP</t>
        </is>
      </c>
      <c r="F79" s="2" t="inlineStr">
        <is>
          <t>0001131399-26-000004</t>
        </is>
      </c>
      <c r="G79" s="2" t="inlineStr">
        <is>
          <t>R5.htm</t>
        </is>
      </c>
      <c r="H79" s="2" t="inlineStr">
        <is>
          <t>Trade and other receivables</t>
        </is>
      </c>
      <c r="I79" s="2" t="inlineStr"/>
    </row>
    <row r="80">
      <c r="A80" s="2" t="inlineStr">
        <is>
          <t>GSK</t>
        </is>
      </c>
      <c r="B80" s="2" t="n">
        <v>2023</v>
      </c>
      <c r="C80" s="2" t="inlineStr">
        <is>
          <t>revenue</t>
        </is>
      </c>
      <c r="D80" s="2" t="n">
        <v>30328</v>
      </c>
      <c r="E80" s="2" t="inlineStr">
        <is>
          <t>GBP</t>
        </is>
      </c>
      <c r="F80" s="2" t="inlineStr">
        <is>
          <t>0001131399-26-000004</t>
        </is>
      </c>
      <c r="G80" s="2" t="inlineStr">
        <is>
          <t>R3.htm</t>
        </is>
      </c>
      <c r="H80" s="2" t="inlineStr">
        <is>
          <t>Turnover</t>
        </is>
      </c>
      <c r="I80" s="2" t="inlineStr">
        <is>
          <t>Turnover; royalty income is excluded</t>
        </is>
      </c>
    </row>
    <row r="81">
      <c r="A81" s="2" t="inlineStr">
        <is>
          <t>GSK</t>
        </is>
      </c>
      <c r="B81" s="2" t="n">
        <v>2024</v>
      </c>
      <c r="C81" s="2" t="inlineStr">
        <is>
          <t>revenue</t>
        </is>
      </c>
      <c r="D81" s="2" t="n">
        <v>31376</v>
      </c>
      <c r="E81" s="2" t="inlineStr">
        <is>
          <t>GBP</t>
        </is>
      </c>
      <c r="F81" s="2" t="inlineStr">
        <is>
          <t>0001131399-26-000004</t>
        </is>
      </c>
      <c r="G81" s="2" t="inlineStr">
        <is>
          <t>R3.htm</t>
        </is>
      </c>
      <c r="H81" s="2" t="inlineStr">
        <is>
          <t>Turnover</t>
        </is>
      </c>
      <c r="I81" s="2" t="inlineStr">
        <is>
          <t>Turnover; royalty income is excluded</t>
        </is>
      </c>
    </row>
    <row r="82">
      <c r="A82" s="2" t="inlineStr">
        <is>
          <t>GSK</t>
        </is>
      </c>
      <c r="B82" s="2" t="n">
        <v>2025</v>
      </c>
      <c r="C82" s="2" t="inlineStr">
        <is>
          <t>revenue</t>
        </is>
      </c>
      <c r="D82" s="2" t="n">
        <v>32667</v>
      </c>
      <c r="E82" s="2" t="inlineStr">
        <is>
          <t>GBP</t>
        </is>
      </c>
      <c r="F82" s="2" t="inlineStr">
        <is>
          <t>0001131399-26-000004</t>
        </is>
      </c>
      <c r="G82" s="2" t="inlineStr">
        <is>
          <t>R3.htm</t>
        </is>
      </c>
      <c r="H82" s="2" t="inlineStr">
        <is>
          <t>Turnover</t>
        </is>
      </c>
      <c r="I82" s="2" t="inlineStr">
        <is>
          <t>Turnover; royalty income is excluded</t>
        </is>
      </c>
    </row>
    <row r="83">
      <c r="A83" s="2" t="inlineStr">
        <is>
          <t>GSK</t>
        </is>
      </c>
      <c r="B83" s="2" t="n">
        <v>2025</v>
      </c>
      <c r="C83" s="2" t="inlineStr">
        <is>
          <t>shares_outstanding_cover</t>
        </is>
      </c>
      <c r="D83" s="2" t="n">
        <v>4315.445026</v>
      </c>
      <c r="E83" s="2" t="inlineStr">
        <is>
          <t>GBP</t>
        </is>
      </c>
      <c r="F83" s="2" t="inlineStr">
        <is>
          <t>0001131399-26-000004</t>
        </is>
      </c>
      <c r="G83" s="2" t="inlineStr">
        <is>
          <t>R1.htm</t>
        </is>
      </c>
      <c r="H83" s="2" t="inlineStr">
        <is>
          <t>Entity Common Stock, Shares Outstanding</t>
        </is>
      </c>
      <c r="I83" s="2" t="inlineStr">
        <is>
          <t>As stated on the cover page (cover date after fiscal year-end). Novo Nordisk: class A plus class B, includes treasury shares</t>
        </is>
      </c>
    </row>
    <row r="84">
      <c r="A84" s="2" t="inlineStr">
        <is>
          <t>GSK</t>
        </is>
      </c>
      <c r="B84" s="2" t="n">
        <v>2023</v>
      </c>
      <c r="C84" s="2" t="inlineStr">
        <is>
          <t>short_term_investments</t>
        </is>
      </c>
      <c r="D84" s="2" t="n">
        <v>42</v>
      </c>
      <c r="E84" s="2" t="inlineStr">
        <is>
          <t>GBP</t>
        </is>
      </c>
      <c r="F84" s="2" t="inlineStr">
        <is>
          <t>0001131399-25-000007</t>
        </is>
      </c>
      <c r="G84" s="2" t="inlineStr">
        <is>
          <t>R5.htm</t>
        </is>
      </c>
      <c r="H84" s="2" t="inlineStr">
        <is>
          <t>Liquid investments</t>
        </is>
      </c>
      <c r="I84" s="2" t="inlineStr"/>
    </row>
    <row r="85">
      <c r="A85" s="2" t="inlineStr">
        <is>
          <t>GSK</t>
        </is>
      </c>
      <c r="B85" s="2" t="n">
        <v>2024</v>
      </c>
      <c r="C85" s="2" t="inlineStr">
        <is>
          <t>short_term_investments</t>
        </is>
      </c>
      <c r="D85" s="2" t="n">
        <v>21</v>
      </c>
      <c r="E85" s="2" t="inlineStr">
        <is>
          <t>GBP</t>
        </is>
      </c>
      <c r="F85" s="2" t="inlineStr">
        <is>
          <t>0001131399-26-000004</t>
        </is>
      </c>
      <c r="G85" s="2" t="inlineStr">
        <is>
          <t>R5.htm</t>
        </is>
      </c>
      <c r="H85" s="2" t="inlineStr">
        <is>
          <t>Liquid investments</t>
        </is>
      </c>
      <c r="I85" s="2" t="inlineStr"/>
    </row>
    <row r="86">
      <c r="A86" s="2" t="inlineStr">
        <is>
          <t>GSK</t>
        </is>
      </c>
      <c r="B86" s="2" t="n">
        <v>2025</v>
      </c>
      <c r="C86" s="2" t="inlineStr">
        <is>
          <t>short_term_investments</t>
        </is>
      </c>
      <c r="D86" s="2" t="n">
        <v>9</v>
      </c>
      <c r="E86" s="2" t="inlineStr">
        <is>
          <t>GBP</t>
        </is>
      </c>
      <c r="F86" s="2" t="inlineStr">
        <is>
          <t>0001131399-26-000004</t>
        </is>
      </c>
      <c r="G86" s="2" t="inlineStr">
        <is>
          <t>R5.htm</t>
        </is>
      </c>
      <c r="H86" s="2" t="inlineStr">
        <is>
          <t>Liquid investments</t>
        </is>
      </c>
      <c r="I86" s="2" t="inlineStr"/>
    </row>
    <row r="87">
      <c r="A87" s="2" t="inlineStr">
        <is>
          <t>GSK</t>
        </is>
      </c>
      <c r="B87" s="2" t="n">
        <v>2023</v>
      </c>
      <c r="C87" s="2" t="inlineStr">
        <is>
          <t>total_assets</t>
        </is>
      </c>
      <c r="D87" s="2" t="n">
        <v>59005</v>
      </c>
      <c r="E87" s="2" t="inlineStr">
        <is>
          <t>GBP</t>
        </is>
      </c>
      <c r="F87" s="2" t="inlineStr">
        <is>
          <t>0001131399-25-000007</t>
        </is>
      </c>
      <c r="G87" s="2" t="inlineStr">
        <is>
          <t>R5.htm</t>
        </is>
      </c>
      <c r="H87" s="2" t="inlineStr">
        <is>
          <t>Total assets</t>
        </is>
      </c>
      <c r="I87" s="2" t="inlineStr"/>
    </row>
    <row r="88">
      <c r="A88" s="2" t="inlineStr">
        <is>
          <t>GSK</t>
        </is>
      </c>
      <c r="B88" s="2" t="n">
        <v>2024</v>
      </c>
      <c r="C88" s="2" t="inlineStr">
        <is>
          <t>total_assets</t>
        </is>
      </c>
      <c r="D88" s="2" t="n">
        <v>59463</v>
      </c>
      <c r="E88" s="2" t="inlineStr">
        <is>
          <t>GBP</t>
        </is>
      </c>
      <c r="F88" s="2" t="inlineStr">
        <is>
          <t>0001131399-26-000004</t>
        </is>
      </c>
      <c r="G88" s="2" t="inlineStr">
        <is>
          <t>R5.htm</t>
        </is>
      </c>
      <c r="H88" s="2" t="inlineStr">
        <is>
          <t>Total assets</t>
        </is>
      </c>
      <c r="I88" s="2" t="inlineStr"/>
    </row>
    <row r="89">
      <c r="A89" s="2" t="inlineStr">
        <is>
          <t>GSK</t>
        </is>
      </c>
      <c r="B89" s="2" t="n">
        <v>2025</v>
      </c>
      <c r="C89" s="2" t="inlineStr">
        <is>
          <t>total_assets</t>
        </is>
      </c>
      <c r="D89" s="2" t="n">
        <v>61118</v>
      </c>
      <c r="E89" s="2" t="inlineStr">
        <is>
          <t>GBP</t>
        </is>
      </c>
      <c r="F89" s="2" t="inlineStr">
        <is>
          <t>0001131399-26-000004</t>
        </is>
      </c>
      <c r="G89" s="2" t="inlineStr">
        <is>
          <t>R5.htm</t>
        </is>
      </c>
      <c r="H89" s="2" t="inlineStr">
        <is>
          <t>Total assets</t>
        </is>
      </c>
      <c r="I89" s="2" t="inlineStr"/>
    </row>
    <row r="90">
      <c r="A90" s="2" t="inlineStr">
        <is>
          <t>GSK</t>
        </is>
      </c>
      <c r="B90" s="2" t="n">
        <v>2023</v>
      </c>
      <c r="C90" s="2" t="inlineStr">
        <is>
          <t>total_equity</t>
        </is>
      </c>
      <c r="D90" s="2" t="n">
        <v>12795</v>
      </c>
      <c r="E90" s="2" t="inlineStr">
        <is>
          <t>GBP</t>
        </is>
      </c>
      <c r="F90" s="2" t="inlineStr">
        <is>
          <t>0001131399-25-000007</t>
        </is>
      </c>
      <c r="G90" s="2" t="inlineStr">
        <is>
          <t>R5.htm</t>
        </is>
      </c>
      <c r="H90" s="2" t="inlineStr">
        <is>
          <t>Total equity</t>
        </is>
      </c>
      <c r="I90" s="2" t="inlineStr"/>
    </row>
    <row r="91">
      <c r="A91" s="2" t="inlineStr">
        <is>
          <t>GSK</t>
        </is>
      </c>
      <c r="B91" s="2" t="n">
        <v>2024</v>
      </c>
      <c r="C91" s="2" t="inlineStr">
        <is>
          <t>total_equity</t>
        </is>
      </c>
      <c r="D91" s="2" t="n">
        <v>13086</v>
      </c>
      <c r="E91" s="2" t="inlineStr">
        <is>
          <t>GBP</t>
        </is>
      </c>
      <c r="F91" s="2" t="inlineStr">
        <is>
          <t>0001131399-26-000004</t>
        </is>
      </c>
      <c r="G91" s="2" t="inlineStr">
        <is>
          <t>R5.htm</t>
        </is>
      </c>
      <c r="H91" s="2" t="inlineStr">
        <is>
          <t>Total equity</t>
        </is>
      </c>
      <c r="I91" s="2" t="inlineStr"/>
    </row>
    <row r="92">
      <c r="A92" s="2" t="inlineStr">
        <is>
          <t>GSK</t>
        </is>
      </c>
      <c r="B92" s="2" t="n">
        <v>2025</v>
      </c>
      <c r="C92" s="2" t="inlineStr">
        <is>
          <t>total_equity</t>
        </is>
      </c>
      <c r="D92" s="2" t="n">
        <v>15956</v>
      </c>
      <c r="E92" s="2" t="inlineStr">
        <is>
          <t>GBP</t>
        </is>
      </c>
      <c r="F92" s="2" t="inlineStr">
        <is>
          <t>0001131399-26-000004</t>
        </is>
      </c>
      <c r="G92" s="2" t="inlineStr">
        <is>
          <t>R5.htm</t>
        </is>
      </c>
      <c r="H92" s="2" t="inlineStr">
        <is>
          <t>Total equity</t>
        </is>
      </c>
      <c r="I92" s="2" t="inlineStr"/>
    </row>
    <row r="93">
      <c r="A93" s="2" t="inlineStr">
        <is>
          <t>GSK</t>
        </is>
      </c>
      <c r="B93" s="2" t="n">
        <v>2023</v>
      </c>
      <c r="C93" s="2" t="inlineStr">
        <is>
          <t>total_liabilities</t>
        </is>
      </c>
      <c r="D93" s="2" t="n">
        <v>46210</v>
      </c>
      <c r="E93" s="2" t="inlineStr">
        <is>
          <t>GBP</t>
        </is>
      </c>
      <c r="F93" s="2" t="inlineStr">
        <is>
          <t>0001131399-25-000007</t>
        </is>
      </c>
      <c r="G93" s="2" t="inlineStr">
        <is>
          <t>R5.htm</t>
        </is>
      </c>
      <c r="H93" s="2" t="inlineStr">
        <is>
          <t>Total liabilities</t>
        </is>
      </c>
      <c r="I93" s="2" t="inlineStr"/>
    </row>
    <row r="94">
      <c r="A94" s="2" t="inlineStr">
        <is>
          <t>GSK</t>
        </is>
      </c>
      <c r="B94" s="2" t="n">
        <v>2024</v>
      </c>
      <c r="C94" s="2" t="inlineStr">
        <is>
          <t>total_liabilities</t>
        </is>
      </c>
      <c r="D94" s="2" t="n">
        <v>46377</v>
      </c>
      <c r="E94" s="2" t="inlineStr">
        <is>
          <t>GBP</t>
        </is>
      </c>
      <c r="F94" s="2" t="inlineStr">
        <is>
          <t>0001131399-26-000004</t>
        </is>
      </c>
      <c r="G94" s="2" t="inlineStr">
        <is>
          <t>R5.htm</t>
        </is>
      </c>
      <c r="H94" s="2" t="inlineStr">
        <is>
          <t>Total liabilities</t>
        </is>
      </c>
      <c r="I94" s="2" t="inlineStr"/>
    </row>
    <row r="95">
      <c r="A95" s="2" t="inlineStr">
        <is>
          <t>GSK</t>
        </is>
      </c>
      <c r="B95" s="2" t="n">
        <v>2025</v>
      </c>
      <c r="C95" s="2" t="inlineStr">
        <is>
          <t>total_liabilities</t>
        </is>
      </c>
      <c r="D95" s="2" t="n">
        <v>45162</v>
      </c>
      <c r="E95" s="2" t="inlineStr">
        <is>
          <t>GBP</t>
        </is>
      </c>
      <c r="F95" s="2" t="inlineStr">
        <is>
          <t>0001131399-26-000004</t>
        </is>
      </c>
      <c r="G95" s="2" t="inlineStr">
        <is>
          <t>R5.htm</t>
        </is>
      </c>
      <c r="H95" s="2" t="inlineStr">
        <is>
          <t>Total liabilities</t>
        </is>
      </c>
      <c r="I95" s="2" t="inlineStr"/>
    </row>
    <row r="96">
      <c r="A96" s="2" t="inlineStr">
        <is>
          <t>Novartis</t>
        </is>
      </c>
      <c r="B96" s="2" t="n">
        <v>2023</v>
      </c>
      <c r="C96" s="2" t="inlineStr">
        <is>
          <t>amortisation_intangibles</t>
        </is>
      </c>
      <c r="D96" s="2" t="n">
        <v>3960</v>
      </c>
      <c r="E96" s="2" t="inlineStr">
        <is>
          <t>USD</t>
        </is>
      </c>
      <c r="F96" s="2" t="inlineStr">
        <is>
          <t>0001114448-26-000004</t>
        </is>
      </c>
      <c r="G96" s="2" t="inlineStr">
        <is>
          <t>R99.htm</t>
        </is>
      </c>
      <c r="H96" s="2" t="inlineStr">
        <is>
          <t>Amortization charge</t>
        </is>
      </c>
      <c r="I96" s="2" t="inlineStr">
        <is>
          <t>Amortisation of intangible assets other than goodwill (excludes impairments)</t>
        </is>
      </c>
    </row>
    <row r="97">
      <c r="A97" s="2" t="inlineStr">
        <is>
          <t>Novartis</t>
        </is>
      </c>
      <c r="B97" s="2" t="n">
        <v>2024</v>
      </c>
      <c r="C97" s="2" t="inlineStr">
        <is>
          <t>amortisation_intangibles</t>
        </is>
      </c>
      <c r="D97" s="2" t="n">
        <v>3457</v>
      </c>
      <c r="E97" s="2" t="inlineStr">
        <is>
          <t>USD</t>
        </is>
      </c>
      <c r="F97" s="2" t="inlineStr">
        <is>
          <t>0001114448-26-000004</t>
        </is>
      </c>
      <c r="G97" s="2" t="inlineStr">
        <is>
          <t>R99.htm</t>
        </is>
      </c>
      <c r="H97" s="2" t="inlineStr">
        <is>
          <t>Amortization charge</t>
        </is>
      </c>
      <c r="I97" s="2" t="inlineStr">
        <is>
          <t>Amortisation of intangible assets other than goodwill (excludes impairments)</t>
        </is>
      </c>
    </row>
    <row r="98">
      <c r="A98" s="2" t="inlineStr">
        <is>
          <t>Novartis</t>
        </is>
      </c>
      <c r="B98" s="2" t="n">
        <v>2025</v>
      </c>
      <c r="C98" s="2" t="inlineStr">
        <is>
          <t>amortisation_intangibles</t>
        </is>
      </c>
      <c r="D98" s="2" t="n">
        <v>3517</v>
      </c>
      <c r="E98" s="2" t="inlineStr">
        <is>
          <t>USD</t>
        </is>
      </c>
      <c r="F98" s="2" t="inlineStr">
        <is>
          <t>0001114448-26-000004</t>
        </is>
      </c>
      <c r="G98" s="2" t="inlineStr">
        <is>
          <t>R99.htm</t>
        </is>
      </c>
      <c r="H98" s="2" t="inlineStr">
        <is>
          <t>Amortization charge</t>
        </is>
      </c>
      <c r="I98" s="2" t="inlineStr">
        <is>
          <t>Amortisation of intangible assets other than goodwill (excludes impairments)</t>
        </is>
      </c>
    </row>
    <row r="99">
      <c r="A99" s="2" t="inlineStr">
        <is>
          <t>Novartis</t>
        </is>
      </c>
      <c r="B99" s="2" t="n">
        <v>2023</v>
      </c>
      <c r="C99" s="2" t="inlineStr">
        <is>
          <t>buybacks</t>
        </is>
      </c>
      <c r="D99" s="2" t="n">
        <v>8719</v>
      </c>
      <c r="E99" s="2" t="inlineStr">
        <is>
          <t>USD</t>
        </is>
      </c>
      <c r="F99" s="2" t="inlineStr">
        <is>
          <t>0001114448-26-000004</t>
        </is>
      </c>
      <c r="G99" s="2" t="inlineStr">
        <is>
          <t>R6.htm</t>
        </is>
      </c>
      <c r="H99" s="2" t="inlineStr">
        <is>
          <t>Purchases of treasury shares</t>
        </is>
      </c>
      <c r="I99" s="2" t="inlineStr"/>
    </row>
    <row r="100">
      <c r="A100" s="2" t="inlineStr">
        <is>
          <t>Novartis</t>
        </is>
      </c>
      <c r="B100" s="2" t="n">
        <v>2024</v>
      </c>
      <c r="C100" s="2" t="inlineStr">
        <is>
          <t>buybacks</t>
        </is>
      </c>
      <c r="D100" s="2" t="n">
        <v>8331</v>
      </c>
      <c r="E100" s="2" t="inlineStr">
        <is>
          <t>USD</t>
        </is>
      </c>
      <c r="F100" s="2" t="inlineStr">
        <is>
          <t>0001114448-26-000004</t>
        </is>
      </c>
      <c r="G100" s="2" t="inlineStr">
        <is>
          <t>R6.htm</t>
        </is>
      </c>
      <c r="H100" s="2" t="inlineStr">
        <is>
          <t>Purchases of treasury shares</t>
        </is>
      </c>
      <c r="I100" s="2" t="inlineStr"/>
    </row>
    <row r="101">
      <c r="A101" s="2" t="inlineStr">
        <is>
          <t>Novartis</t>
        </is>
      </c>
      <c r="B101" s="2" t="n">
        <v>2025</v>
      </c>
      <c r="C101" s="2" t="inlineStr">
        <is>
          <t>buybacks</t>
        </is>
      </c>
      <c r="D101" s="2" t="n">
        <v>9212</v>
      </c>
      <c r="E101" s="2" t="inlineStr">
        <is>
          <t>USD</t>
        </is>
      </c>
      <c r="F101" s="2" t="inlineStr">
        <is>
          <t>0001114448-26-000004</t>
        </is>
      </c>
      <c r="G101" s="2" t="inlineStr">
        <is>
          <t>R6.htm</t>
        </is>
      </c>
      <c r="H101" s="2" t="inlineStr">
        <is>
          <t>Purchases of treasury shares</t>
        </is>
      </c>
      <c r="I101" s="2" t="inlineStr"/>
    </row>
    <row r="102">
      <c r="A102" s="2" t="inlineStr">
        <is>
          <t>Novartis</t>
        </is>
      </c>
      <c r="B102" s="2" t="n">
        <v>2023</v>
      </c>
      <c r="C102" s="2" t="inlineStr">
        <is>
          <t>capex_intangibles</t>
        </is>
      </c>
      <c r="D102" s="2" t="n">
        <v>1693</v>
      </c>
      <c r="E102" s="2" t="inlineStr">
        <is>
          <t>USD</t>
        </is>
      </c>
      <c r="F102" s="2" t="inlineStr">
        <is>
          <t>0001114448-26-000004</t>
        </is>
      </c>
      <c r="G102" s="2" t="inlineStr">
        <is>
          <t>R6.htm</t>
        </is>
      </c>
      <c r="H102" s="2" t="inlineStr">
        <is>
          <t>Purchases of intangible assets</t>
        </is>
      </c>
      <c r="I102" s="2" t="inlineStr"/>
    </row>
    <row r="103">
      <c r="A103" s="2" t="inlineStr">
        <is>
          <t>Novartis</t>
        </is>
      </c>
      <c r="B103" s="2" t="n">
        <v>2024</v>
      </c>
      <c r="C103" s="2" t="inlineStr">
        <is>
          <t>capex_intangibles</t>
        </is>
      </c>
      <c r="D103" s="2" t="n">
        <v>2448</v>
      </c>
      <c r="E103" s="2" t="inlineStr">
        <is>
          <t>USD</t>
        </is>
      </c>
      <c r="F103" s="2" t="inlineStr">
        <is>
          <t>0001114448-26-000004</t>
        </is>
      </c>
      <c r="G103" s="2" t="inlineStr">
        <is>
          <t>R6.htm</t>
        </is>
      </c>
      <c r="H103" s="2" t="inlineStr">
        <is>
          <t>Purchases of intangible assets</t>
        </is>
      </c>
      <c r="I103" s="2" t="inlineStr"/>
    </row>
    <row r="104">
      <c r="A104" s="2" t="inlineStr">
        <is>
          <t>Novartis</t>
        </is>
      </c>
      <c r="B104" s="2" t="n">
        <v>2025</v>
      </c>
      <c r="C104" s="2" t="inlineStr">
        <is>
          <t>capex_intangibles</t>
        </is>
      </c>
      <c r="D104" s="2" t="n">
        <v>2352</v>
      </c>
      <c r="E104" s="2" t="inlineStr">
        <is>
          <t>USD</t>
        </is>
      </c>
      <c r="F104" s="2" t="inlineStr">
        <is>
          <t>0001114448-26-000004</t>
        </is>
      </c>
      <c r="G104" s="2" t="inlineStr">
        <is>
          <t>R6.htm</t>
        </is>
      </c>
      <c r="H104" s="2" t="inlineStr">
        <is>
          <t>Purchases of intangible assets</t>
        </is>
      </c>
      <c r="I104" s="2" t="inlineStr"/>
    </row>
    <row r="105">
      <c r="A105" s="2" t="inlineStr">
        <is>
          <t>Novartis</t>
        </is>
      </c>
      <c r="B105" s="2" t="n">
        <v>2023</v>
      </c>
      <c r="C105" s="2" t="inlineStr">
        <is>
          <t>capex_ppe</t>
        </is>
      </c>
      <c r="D105" s="2" t="n">
        <v>1060</v>
      </c>
      <c r="E105" s="2" t="inlineStr">
        <is>
          <t>USD</t>
        </is>
      </c>
      <c r="F105" s="2" t="inlineStr">
        <is>
          <t>0001114448-26-000004</t>
        </is>
      </c>
      <c r="G105" s="2" t="inlineStr">
        <is>
          <t>R6.htm</t>
        </is>
      </c>
      <c r="H105" s="2" t="inlineStr">
        <is>
          <t>Purchases of property, plant and equipment</t>
        </is>
      </c>
      <c r="I105" s="2" t="inlineStr"/>
    </row>
    <row r="106">
      <c r="A106" s="2" t="inlineStr">
        <is>
          <t>Novartis</t>
        </is>
      </c>
      <c r="B106" s="2" t="n">
        <v>2024</v>
      </c>
      <c r="C106" s="2" t="inlineStr">
        <is>
          <t>capex_ppe</t>
        </is>
      </c>
      <c r="D106" s="2" t="n">
        <v>1366</v>
      </c>
      <c r="E106" s="2" t="inlineStr">
        <is>
          <t>USD</t>
        </is>
      </c>
      <c r="F106" s="2" t="inlineStr">
        <is>
          <t>0001114448-26-000004</t>
        </is>
      </c>
      <c r="G106" s="2" t="inlineStr">
        <is>
          <t>R6.htm</t>
        </is>
      </c>
      <c r="H106" s="2" t="inlineStr">
        <is>
          <t>Purchases of property, plant and equipment</t>
        </is>
      </c>
      <c r="I106" s="2" t="inlineStr"/>
    </row>
    <row r="107">
      <c r="A107" s="2" t="inlineStr">
        <is>
          <t>Novartis</t>
        </is>
      </c>
      <c r="B107" s="2" t="n">
        <v>2025</v>
      </c>
      <c r="C107" s="2" t="inlineStr">
        <is>
          <t>capex_ppe</t>
        </is>
      </c>
      <c r="D107" s="2" t="n">
        <v>1548</v>
      </c>
      <c r="E107" s="2" t="inlineStr">
        <is>
          <t>USD</t>
        </is>
      </c>
      <c r="F107" s="2" t="inlineStr">
        <is>
          <t>0001114448-26-000004</t>
        </is>
      </c>
      <c r="G107" s="2" t="inlineStr">
        <is>
          <t>R6.htm</t>
        </is>
      </c>
      <c r="H107" s="2" t="inlineStr">
        <is>
          <t>Purchases of property, plant and equipment</t>
        </is>
      </c>
      <c r="I107" s="2" t="inlineStr"/>
    </row>
    <row r="108">
      <c r="A108" s="2" t="inlineStr">
        <is>
          <t>Novartis</t>
        </is>
      </c>
      <c r="B108" s="2" t="n">
        <v>2023</v>
      </c>
      <c r="C108" s="2" t="inlineStr">
        <is>
          <t>cash</t>
        </is>
      </c>
      <c r="D108" s="2" t="n">
        <v>13393</v>
      </c>
      <c r="E108" s="2" t="inlineStr">
        <is>
          <t>USD</t>
        </is>
      </c>
      <c r="F108" s="2" t="inlineStr">
        <is>
          <t>0001370368-25-000004</t>
        </is>
      </c>
      <c r="G108" s="2" t="inlineStr">
        <is>
          <t>R4.htm</t>
        </is>
      </c>
      <c r="H108" s="2" t="inlineStr">
        <is>
          <t>Cash and cash equivalents</t>
        </is>
      </c>
      <c r="I108" s="2" t="inlineStr"/>
    </row>
    <row r="109">
      <c r="A109" s="2" t="inlineStr">
        <is>
          <t>Novartis</t>
        </is>
      </c>
      <c r="B109" s="2" t="n">
        <v>2024</v>
      </c>
      <c r="C109" s="2" t="inlineStr">
        <is>
          <t>cash</t>
        </is>
      </c>
      <c r="D109" s="2" t="n">
        <v>11459</v>
      </c>
      <c r="E109" s="2" t="inlineStr">
        <is>
          <t>USD</t>
        </is>
      </c>
      <c r="F109" s="2" t="inlineStr">
        <is>
          <t>0001114448-26-000004</t>
        </is>
      </c>
      <c r="G109" s="2" t="inlineStr">
        <is>
          <t>R4.htm</t>
        </is>
      </c>
      <c r="H109" s="2" t="inlineStr">
        <is>
          <t>Cash and cash equivalents</t>
        </is>
      </c>
      <c r="I109" s="2" t="inlineStr"/>
    </row>
    <row r="110">
      <c r="A110" s="2" t="inlineStr">
        <is>
          <t>Novartis</t>
        </is>
      </c>
      <c r="B110" s="2" t="n">
        <v>2025</v>
      </c>
      <c r="C110" s="2" t="inlineStr">
        <is>
          <t>cash</t>
        </is>
      </c>
      <c r="D110" s="2" t="n">
        <v>11435</v>
      </c>
      <c r="E110" s="2" t="inlineStr">
        <is>
          <t>USD</t>
        </is>
      </c>
      <c r="F110" s="2" t="inlineStr">
        <is>
          <t>0001114448-26-000004</t>
        </is>
      </c>
      <c r="G110" s="2" t="inlineStr">
        <is>
          <t>R4.htm</t>
        </is>
      </c>
      <c r="H110" s="2" t="inlineStr">
        <is>
          <t>Cash and cash equivalents</t>
        </is>
      </c>
      <c r="I110" s="2" t="inlineStr"/>
    </row>
    <row r="111">
      <c r="A111" s="2" t="inlineStr">
        <is>
          <t>Novartis</t>
        </is>
      </c>
      <c r="B111" s="2" t="n">
        <v>2023</v>
      </c>
      <c r="C111" s="2" t="inlineStr">
        <is>
          <t>cfo</t>
        </is>
      </c>
      <c r="D111" s="2" t="n">
        <v>14220</v>
      </c>
      <c r="E111" s="2" t="inlineStr">
        <is>
          <t>USD</t>
        </is>
      </c>
      <c r="F111" s="2" t="inlineStr">
        <is>
          <t>0001114448-26-000004</t>
        </is>
      </c>
      <c r="G111" s="2" t="inlineStr">
        <is>
          <t>R6.htm</t>
        </is>
      </c>
      <c r="H111" s="2" t="inlineStr">
        <is>
          <t>Net cash flows from operating activities from continuing operations</t>
        </is>
      </c>
      <c r="I111" s="2" t="inlineStr"/>
    </row>
    <row r="112">
      <c r="A112" s="2" t="inlineStr">
        <is>
          <t>Novartis</t>
        </is>
      </c>
      <c r="B112" s="2" t="n">
        <v>2024</v>
      </c>
      <c r="C112" s="2" t="inlineStr">
        <is>
          <t>cfo</t>
        </is>
      </c>
      <c r="D112" s="2" t="n">
        <v>17619</v>
      </c>
      <c r="E112" s="2" t="inlineStr">
        <is>
          <t>USD</t>
        </is>
      </c>
      <c r="F112" s="2" t="inlineStr">
        <is>
          <t>0001114448-26-000004</t>
        </is>
      </c>
      <c r="G112" s="2" t="inlineStr">
        <is>
          <t>R6.htm</t>
        </is>
      </c>
      <c r="H112" s="2" t="inlineStr">
        <is>
          <t>Net cash flows from operating activities from continuing operations</t>
        </is>
      </c>
      <c r="I112" s="2" t="inlineStr"/>
    </row>
    <row r="113">
      <c r="A113" s="2" t="inlineStr">
        <is>
          <t>Novartis</t>
        </is>
      </c>
      <c r="B113" s="2" t="n">
        <v>2025</v>
      </c>
      <c r="C113" s="2" t="inlineStr">
        <is>
          <t>cfo</t>
        </is>
      </c>
      <c r="D113" s="2" t="n">
        <v>19144</v>
      </c>
      <c r="E113" s="2" t="inlineStr">
        <is>
          <t>USD</t>
        </is>
      </c>
      <c r="F113" s="2" t="inlineStr">
        <is>
          <t>0001114448-26-000004</t>
        </is>
      </c>
      <c r="G113" s="2" t="inlineStr">
        <is>
          <t>R6.htm</t>
        </is>
      </c>
      <c r="H113" s="2" t="inlineStr">
        <is>
          <t>Net cash flows from operating activities from continuing operations</t>
        </is>
      </c>
      <c r="I113" s="2" t="inlineStr"/>
    </row>
    <row r="114">
      <c r="A114" s="2" t="inlineStr">
        <is>
          <t>Novartis</t>
        </is>
      </c>
      <c r="B114" s="2" t="n">
        <v>2023</v>
      </c>
      <c r="C114" s="2" t="inlineStr">
        <is>
          <t>debt_current</t>
        </is>
      </c>
      <c r="D114" s="2" t="n">
        <v>6175</v>
      </c>
      <c r="E114" s="2" t="inlineStr">
        <is>
          <t>USD</t>
        </is>
      </c>
      <c r="F114" s="2" t="inlineStr">
        <is>
          <t>0001370368-25-000004</t>
        </is>
      </c>
      <c r="G114" s="2" t="inlineStr">
        <is>
          <t>R4.htm</t>
        </is>
      </c>
      <c r="H114" s="2" t="inlineStr">
        <is>
          <t>Financial debts and derivative financial instruments</t>
        </is>
      </c>
      <c r="I114" s="2" t="inlineStr">
        <is>
          <t>Includes derivative financial instruments</t>
        </is>
      </c>
    </row>
    <row r="115">
      <c r="A115" s="2" t="inlineStr">
        <is>
          <t>Novartis</t>
        </is>
      </c>
      <c r="B115" s="2" t="n">
        <v>2024</v>
      </c>
      <c r="C115" s="2" t="inlineStr">
        <is>
          <t>debt_current</t>
        </is>
      </c>
      <c r="D115" s="2" t="n">
        <v>8232</v>
      </c>
      <c r="E115" s="2" t="inlineStr">
        <is>
          <t>USD</t>
        </is>
      </c>
      <c r="F115" s="2" t="inlineStr">
        <is>
          <t>0001114448-26-000004</t>
        </is>
      </c>
      <c r="G115" s="2" t="inlineStr">
        <is>
          <t>R4.htm</t>
        </is>
      </c>
      <c r="H115" s="2" t="inlineStr">
        <is>
          <t>Financial debts and derivative financial instruments</t>
        </is>
      </c>
      <c r="I115" s="2" t="inlineStr">
        <is>
          <t>Includes derivative financial instruments</t>
        </is>
      </c>
    </row>
    <row r="116">
      <c r="A116" s="2" t="inlineStr">
        <is>
          <t>Novartis</t>
        </is>
      </c>
      <c r="B116" s="2" t="n">
        <v>2025</v>
      </c>
      <c r="C116" s="2" t="inlineStr">
        <is>
          <t>debt_current</t>
        </is>
      </c>
      <c r="D116" s="2" t="n">
        <v>5602</v>
      </c>
      <c r="E116" s="2" t="inlineStr">
        <is>
          <t>USD</t>
        </is>
      </c>
      <c r="F116" s="2" t="inlineStr">
        <is>
          <t>0001114448-26-000004</t>
        </is>
      </c>
      <c r="G116" s="2" t="inlineStr">
        <is>
          <t>R4.htm</t>
        </is>
      </c>
      <c r="H116" s="2" t="inlineStr">
        <is>
          <t>Financial debts and derivative financial instruments</t>
        </is>
      </c>
      <c r="I116" s="2" t="inlineStr">
        <is>
          <t>Includes derivative financial instruments</t>
        </is>
      </c>
    </row>
    <row r="117">
      <c r="A117" s="2" t="inlineStr">
        <is>
          <t>Novartis</t>
        </is>
      </c>
      <c r="B117" s="2" t="n">
        <v>2023</v>
      </c>
      <c r="C117" s="2" t="inlineStr">
        <is>
          <t>debt_noncurrent</t>
        </is>
      </c>
      <c r="D117" s="2" t="n">
        <v>18436</v>
      </c>
      <c r="E117" s="2" t="inlineStr">
        <is>
          <t>USD</t>
        </is>
      </c>
      <c r="F117" s="2" t="inlineStr">
        <is>
          <t>0001370368-25-000004</t>
        </is>
      </c>
      <c r="G117" s="2" t="inlineStr">
        <is>
          <t>R4.htm</t>
        </is>
      </c>
      <c r="H117" s="2" t="inlineStr">
        <is>
          <t>Financial debts</t>
        </is>
      </c>
      <c r="I117" s="2" t="inlineStr"/>
    </row>
    <row r="118">
      <c r="A118" s="2" t="inlineStr">
        <is>
          <t>Novartis</t>
        </is>
      </c>
      <c r="B118" s="2" t="n">
        <v>2024</v>
      </c>
      <c r="C118" s="2" t="inlineStr">
        <is>
          <t>debt_noncurrent</t>
        </is>
      </c>
      <c r="D118" s="2" t="n">
        <v>21366</v>
      </c>
      <c r="E118" s="2" t="inlineStr">
        <is>
          <t>USD</t>
        </is>
      </c>
      <c r="F118" s="2" t="inlineStr">
        <is>
          <t>0001114448-26-000004</t>
        </is>
      </c>
      <c r="G118" s="2" t="inlineStr">
        <is>
          <t>R4.htm</t>
        </is>
      </c>
      <c r="H118" s="2" t="inlineStr">
        <is>
          <t>Financial debts</t>
        </is>
      </c>
      <c r="I118" s="2" t="inlineStr"/>
    </row>
    <row r="119">
      <c r="A119" s="2" t="inlineStr">
        <is>
          <t>Novartis</t>
        </is>
      </c>
      <c r="B119" s="2" t="n">
        <v>2025</v>
      </c>
      <c r="C119" s="2" t="inlineStr">
        <is>
          <t>debt_noncurrent</t>
        </is>
      </c>
      <c r="D119" s="2" t="n">
        <v>27935</v>
      </c>
      <c r="E119" s="2" t="inlineStr">
        <is>
          <t>USD</t>
        </is>
      </c>
      <c r="F119" s="2" t="inlineStr">
        <is>
          <t>0001114448-26-000004</t>
        </is>
      </c>
      <c r="G119" s="2" t="inlineStr">
        <is>
          <t>R4.htm</t>
        </is>
      </c>
      <c r="H119" s="2" t="inlineStr">
        <is>
          <t>Financial debts</t>
        </is>
      </c>
      <c r="I119" s="2" t="inlineStr"/>
    </row>
    <row r="120">
      <c r="A120" s="2" t="inlineStr">
        <is>
          <t>Novartis</t>
        </is>
      </c>
      <c r="B120" s="2" t="n">
        <v>2023</v>
      </c>
      <c r="C120" s="2" t="inlineStr">
        <is>
          <t>depreciation_ppe</t>
        </is>
      </c>
      <c r="D120" s="2" t="n">
        <v>916</v>
      </c>
      <c r="E120" s="2" t="inlineStr">
        <is>
          <t>USD</t>
        </is>
      </c>
      <c r="F120" s="2" t="inlineStr">
        <is>
          <t>0001114448-26-000004</t>
        </is>
      </c>
      <c r="G120" s="2" t="inlineStr">
        <is>
          <t>R90.htm</t>
        </is>
      </c>
      <c r="H120" s="2" t="inlineStr">
        <is>
          <t>Depreciation charge</t>
        </is>
      </c>
      <c r="I120" s="2" t="inlineStr">
        <is>
          <t>Depreciation of property, plant and equipment (excludes right-of-use assets and impairments)</t>
        </is>
      </c>
    </row>
    <row r="121">
      <c r="A121" s="2" t="inlineStr">
        <is>
          <t>Novartis</t>
        </is>
      </c>
      <c r="B121" s="2" t="n">
        <v>2024</v>
      </c>
      <c r="C121" s="2" t="inlineStr">
        <is>
          <t>depreciation_ppe</t>
        </is>
      </c>
      <c r="D121" s="2" t="n">
        <v>885</v>
      </c>
      <c r="E121" s="2" t="inlineStr">
        <is>
          <t>USD</t>
        </is>
      </c>
      <c r="F121" s="2" t="inlineStr">
        <is>
          <t>0001114448-26-000004</t>
        </is>
      </c>
      <c r="G121" s="2" t="inlineStr">
        <is>
          <t>R90.htm</t>
        </is>
      </c>
      <c r="H121" s="2" t="inlineStr">
        <is>
          <t>Depreciation charge</t>
        </is>
      </c>
      <c r="I121" s="2" t="inlineStr">
        <is>
          <t>Depreciation of property, plant and equipment (excludes right-of-use assets and impairments)</t>
        </is>
      </c>
    </row>
    <row r="122">
      <c r="A122" s="2" t="inlineStr">
        <is>
          <t>Novartis</t>
        </is>
      </c>
      <c r="B122" s="2" t="n">
        <v>2025</v>
      </c>
      <c r="C122" s="2" t="inlineStr">
        <is>
          <t>depreciation_ppe</t>
        </is>
      </c>
      <c r="D122" s="2" t="n">
        <v>951</v>
      </c>
      <c r="E122" s="2" t="inlineStr">
        <is>
          <t>USD</t>
        </is>
      </c>
      <c r="F122" s="2" t="inlineStr">
        <is>
          <t>0001114448-26-000004</t>
        </is>
      </c>
      <c r="G122" s="2" t="inlineStr">
        <is>
          <t>R90.htm</t>
        </is>
      </c>
      <c r="H122" s="2" t="inlineStr">
        <is>
          <t>Depreciation charge</t>
        </is>
      </c>
      <c r="I122" s="2" t="inlineStr">
        <is>
          <t>Depreciation of property, plant and equipment (excludes right-of-use assets and impairments)</t>
        </is>
      </c>
    </row>
    <row r="123">
      <c r="A123" s="2" t="inlineStr">
        <is>
          <t>Novartis</t>
        </is>
      </c>
      <c r="B123" s="2" t="n">
        <v>2023</v>
      </c>
      <c r="C123" s="2" t="inlineStr">
        <is>
          <t>dividends_paid</t>
        </is>
      </c>
      <c r="D123" s="2" t="n">
        <v>7255</v>
      </c>
      <c r="E123" s="2" t="inlineStr">
        <is>
          <t>USD</t>
        </is>
      </c>
      <c r="F123" s="2" t="inlineStr">
        <is>
          <t>0001114448-26-000004</t>
        </is>
      </c>
      <c r="G123" s="2" t="inlineStr">
        <is>
          <t>R6.htm</t>
        </is>
      </c>
      <c r="H123" s="2" t="inlineStr">
        <is>
          <t>Dividends paid to shareholders of Novartis AG</t>
        </is>
      </c>
      <c r="I123" s="2" t="inlineStr"/>
    </row>
    <row r="124">
      <c r="A124" s="2" t="inlineStr">
        <is>
          <t>Novartis</t>
        </is>
      </c>
      <c r="B124" s="2" t="n">
        <v>2024</v>
      </c>
      <c r="C124" s="2" t="inlineStr">
        <is>
          <t>dividends_paid</t>
        </is>
      </c>
      <c r="D124" s="2" t="n">
        <v>7624</v>
      </c>
      <c r="E124" s="2" t="inlineStr">
        <is>
          <t>USD</t>
        </is>
      </c>
      <c r="F124" s="2" t="inlineStr">
        <is>
          <t>0001114448-26-000004</t>
        </is>
      </c>
      <c r="G124" s="2" t="inlineStr">
        <is>
          <t>R6.htm</t>
        </is>
      </c>
      <c r="H124" s="2" t="inlineStr">
        <is>
          <t>Dividends paid to shareholders of Novartis AG</t>
        </is>
      </c>
      <c r="I124" s="2" t="inlineStr"/>
    </row>
    <row r="125">
      <c r="A125" s="2" t="inlineStr">
        <is>
          <t>Novartis</t>
        </is>
      </c>
      <c r="B125" s="2" t="n">
        <v>2025</v>
      </c>
      <c r="C125" s="2" t="inlineStr">
        <is>
          <t>dividends_paid</t>
        </is>
      </c>
      <c r="D125" s="2" t="n">
        <v>7818</v>
      </c>
      <c r="E125" s="2" t="inlineStr">
        <is>
          <t>USD</t>
        </is>
      </c>
      <c r="F125" s="2" t="inlineStr">
        <is>
          <t>0001114448-26-000004</t>
        </is>
      </c>
      <c r="G125" s="2" t="inlineStr">
        <is>
          <t>R6.htm</t>
        </is>
      </c>
      <c r="H125" s="2" t="inlineStr">
        <is>
          <t>Dividends paid to shareholders of Novartis AG</t>
        </is>
      </c>
      <c r="I125" s="2" t="inlineStr"/>
    </row>
    <row r="126">
      <c r="A126" s="2" t="inlineStr">
        <is>
          <t>Novartis</t>
        </is>
      </c>
      <c r="B126" s="2" t="n">
        <v>2023</v>
      </c>
      <c r="C126" s="2" t="inlineStr">
        <is>
          <t>equity_method_investments</t>
        </is>
      </c>
      <c r="D126" s="2" t="n">
        <v>205</v>
      </c>
      <c r="E126" s="2" t="inlineStr">
        <is>
          <t>USD</t>
        </is>
      </c>
      <c r="F126" s="2" t="inlineStr">
        <is>
          <t>0001370368-25-000004</t>
        </is>
      </c>
      <c r="G126" s="2" t="inlineStr">
        <is>
          <t>R4.htm</t>
        </is>
      </c>
      <c r="H126" s="2" t="inlineStr">
        <is>
          <t>Investments in associated companies</t>
        </is>
      </c>
      <c r="I126" s="2" t="inlineStr"/>
    </row>
    <row r="127">
      <c r="A127" s="2" t="inlineStr">
        <is>
          <t>Novartis</t>
        </is>
      </c>
      <c r="B127" s="2" t="n">
        <v>2024</v>
      </c>
      <c r="C127" s="2" t="inlineStr">
        <is>
          <t>equity_method_investments</t>
        </is>
      </c>
      <c r="D127" s="2" t="n">
        <v>119</v>
      </c>
      <c r="E127" s="2" t="inlineStr">
        <is>
          <t>USD</t>
        </is>
      </c>
      <c r="F127" s="2" t="inlineStr">
        <is>
          <t>0001114448-26-000004</t>
        </is>
      </c>
      <c r="G127" s="2" t="inlineStr">
        <is>
          <t>R4.htm</t>
        </is>
      </c>
      <c r="H127" s="2" t="inlineStr">
        <is>
          <t>Investments in associated companies</t>
        </is>
      </c>
      <c r="I127" s="2" t="inlineStr"/>
    </row>
    <row r="128">
      <c r="A128" s="2" t="inlineStr">
        <is>
          <t>Novartis</t>
        </is>
      </c>
      <c r="B128" s="2" t="n">
        <v>2025</v>
      </c>
      <c r="C128" s="2" t="inlineStr">
        <is>
          <t>equity_method_investments</t>
        </is>
      </c>
      <c r="D128" s="2" t="n">
        <v>98</v>
      </c>
      <c r="E128" s="2" t="inlineStr">
        <is>
          <t>USD</t>
        </is>
      </c>
      <c r="F128" s="2" t="inlineStr">
        <is>
          <t>0001114448-26-000004</t>
        </is>
      </c>
      <c r="G128" s="2" t="inlineStr">
        <is>
          <t>R4.htm</t>
        </is>
      </c>
      <c r="H128" s="2" t="inlineStr">
        <is>
          <t>Investments in associated companies</t>
        </is>
      </c>
      <c r="I128" s="2" t="inlineStr"/>
    </row>
    <row r="129">
      <c r="A129" s="2" t="inlineStr">
        <is>
          <t>Novartis</t>
        </is>
      </c>
      <c r="B129" s="2" t="n">
        <v>2023</v>
      </c>
      <c r="C129" s="2" t="inlineStr">
        <is>
          <t>income_tax</t>
        </is>
      </c>
      <c r="D129" s="2" t="n">
        <v>551</v>
      </c>
      <c r="E129" s="2" t="inlineStr">
        <is>
          <t>USD</t>
        </is>
      </c>
      <c r="F129" s="2" t="inlineStr">
        <is>
          <t>0001114448-26-000004</t>
        </is>
      </c>
      <c r="G129" s="2" t="inlineStr">
        <is>
          <t>R2.htm</t>
        </is>
      </c>
      <c r="H129" s="2" t="inlineStr">
        <is>
          <t>Income taxes</t>
        </is>
      </c>
      <c r="I129" s="2" t="inlineStr"/>
    </row>
    <row r="130">
      <c r="A130" s="2" t="inlineStr">
        <is>
          <t>Novartis</t>
        </is>
      </c>
      <c r="B130" s="2" t="n">
        <v>2024</v>
      </c>
      <c r="C130" s="2" t="inlineStr">
        <is>
          <t>income_tax</t>
        </is>
      </c>
      <c r="D130" s="2" t="n">
        <v>1701</v>
      </c>
      <c r="E130" s="2" t="inlineStr">
        <is>
          <t>USD</t>
        </is>
      </c>
      <c r="F130" s="2" t="inlineStr">
        <is>
          <t>0001114448-26-000004</t>
        </is>
      </c>
      <c r="G130" s="2" t="inlineStr">
        <is>
          <t>R2.htm</t>
        </is>
      </c>
      <c r="H130" s="2" t="inlineStr">
        <is>
          <t>Income taxes</t>
        </is>
      </c>
      <c r="I130" s="2" t="inlineStr"/>
    </row>
    <row r="131">
      <c r="A131" s="2" t="inlineStr">
        <is>
          <t>Novartis</t>
        </is>
      </c>
      <c r="B131" s="2" t="n">
        <v>2025</v>
      </c>
      <c r="C131" s="2" t="inlineStr">
        <is>
          <t>income_tax</t>
        </is>
      </c>
      <c r="D131" s="2" t="n">
        <v>2385</v>
      </c>
      <c r="E131" s="2" t="inlineStr">
        <is>
          <t>USD</t>
        </is>
      </c>
      <c r="F131" s="2" t="inlineStr">
        <is>
          <t>0001114448-26-000004</t>
        </is>
      </c>
      <c r="G131" s="2" t="inlineStr">
        <is>
          <t>R2.htm</t>
        </is>
      </c>
      <c r="H131" s="2" t="inlineStr">
        <is>
          <t>Income taxes</t>
        </is>
      </c>
      <c r="I131" s="2" t="inlineStr"/>
    </row>
    <row r="132">
      <c r="A132" s="2" t="inlineStr">
        <is>
          <t>Novartis</t>
        </is>
      </c>
      <c r="B132" s="2" t="n">
        <v>2023</v>
      </c>
      <c r="C132" s="2" t="inlineStr">
        <is>
          <t>interest_expense</t>
        </is>
      </c>
      <c r="D132" s="2" t="n">
        <v>855</v>
      </c>
      <c r="E132" s="2" t="inlineStr">
        <is>
          <t>USD</t>
        </is>
      </c>
      <c r="F132" s="2" t="inlineStr">
        <is>
          <t>0001114448-26-000004</t>
        </is>
      </c>
      <c r="G132" s="2" t="inlineStr">
        <is>
          <t>R2.htm</t>
        </is>
      </c>
      <c r="H132" s="2" t="inlineStr">
        <is>
          <t>Interest expense</t>
        </is>
      </c>
      <c r="I132" s="2" t="inlineStr"/>
    </row>
    <row r="133">
      <c r="A133" s="2" t="inlineStr">
        <is>
          <t>Novartis</t>
        </is>
      </c>
      <c r="B133" s="2" t="n">
        <v>2024</v>
      </c>
      <c r="C133" s="2" t="inlineStr">
        <is>
          <t>interest_expense</t>
        </is>
      </c>
      <c r="D133" s="2" t="n">
        <v>1006</v>
      </c>
      <c r="E133" s="2" t="inlineStr">
        <is>
          <t>USD</t>
        </is>
      </c>
      <c r="F133" s="2" t="inlineStr">
        <is>
          <t>0001114448-26-000004</t>
        </is>
      </c>
      <c r="G133" s="2" t="inlineStr">
        <is>
          <t>R2.htm</t>
        </is>
      </c>
      <c r="H133" s="2" t="inlineStr">
        <is>
          <t>Interest expense</t>
        </is>
      </c>
      <c r="I133" s="2" t="inlineStr"/>
    </row>
    <row r="134">
      <c r="A134" s="2" t="inlineStr">
        <is>
          <t>Novartis</t>
        </is>
      </c>
      <c r="B134" s="2" t="n">
        <v>2025</v>
      </c>
      <c r="C134" s="2" t="inlineStr">
        <is>
          <t>interest_expense</t>
        </is>
      </c>
      <c r="D134" s="2" t="n">
        <v>1144</v>
      </c>
      <c r="E134" s="2" t="inlineStr">
        <is>
          <t>USD</t>
        </is>
      </c>
      <c r="F134" s="2" t="inlineStr">
        <is>
          <t>0001114448-26-000004</t>
        </is>
      </c>
      <c r="G134" s="2" t="inlineStr">
        <is>
          <t>R2.htm</t>
        </is>
      </c>
      <c r="H134" s="2" t="inlineStr">
        <is>
          <t>Interest expense</t>
        </is>
      </c>
      <c r="I134" s="2" t="inlineStr"/>
    </row>
    <row r="135">
      <c r="A135" s="2" t="inlineStr">
        <is>
          <t>Novartis</t>
        </is>
      </c>
      <c r="B135" s="2" t="n">
        <v>2023</v>
      </c>
      <c r="C135" s="2" t="inlineStr">
        <is>
          <t>interest_paid_in_cfo</t>
        </is>
      </c>
      <c r="D135" s="2" t="n">
        <v>751</v>
      </c>
      <c r="E135" s="2" t="inlineStr">
        <is>
          <t>USD</t>
        </is>
      </c>
      <c r="F135" s="2" t="inlineStr">
        <is>
          <t>0001114448-26-000004</t>
        </is>
      </c>
      <c r="G135" s="2" t="inlineStr">
        <is>
          <t>R6.htm</t>
        </is>
      </c>
      <c r="H135" s="2" t="inlineStr">
        <is>
          <t>Interest paid</t>
        </is>
      </c>
      <c r="I135" s="2" t="inlineStr">
        <is>
          <t>Interest paid is inside operating cash flow</t>
        </is>
      </c>
    </row>
    <row r="136">
      <c r="A136" s="2" t="inlineStr">
        <is>
          <t>Novartis</t>
        </is>
      </c>
      <c r="B136" s="2" t="n">
        <v>2024</v>
      </c>
      <c r="C136" s="2" t="inlineStr">
        <is>
          <t>interest_paid_in_cfo</t>
        </is>
      </c>
      <c r="D136" s="2" t="n">
        <v>855</v>
      </c>
      <c r="E136" s="2" t="inlineStr">
        <is>
          <t>USD</t>
        </is>
      </c>
      <c r="F136" s="2" t="inlineStr">
        <is>
          <t>0001114448-26-000004</t>
        </is>
      </c>
      <c r="G136" s="2" t="inlineStr">
        <is>
          <t>R6.htm</t>
        </is>
      </c>
      <c r="H136" s="2" t="inlineStr">
        <is>
          <t>Interest paid</t>
        </is>
      </c>
      <c r="I136" s="2" t="inlineStr">
        <is>
          <t>Interest paid is inside operating cash flow</t>
        </is>
      </c>
    </row>
    <row r="137">
      <c r="A137" s="2" t="inlineStr">
        <is>
          <t>Novartis</t>
        </is>
      </c>
      <c r="B137" s="2" t="n">
        <v>2025</v>
      </c>
      <c r="C137" s="2" t="inlineStr">
        <is>
          <t>interest_paid_in_cfo</t>
        </is>
      </c>
      <c r="D137" s="2" t="n">
        <v>981</v>
      </c>
      <c r="E137" s="2" t="inlineStr">
        <is>
          <t>USD</t>
        </is>
      </c>
      <c r="F137" s="2" t="inlineStr">
        <is>
          <t>0001114448-26-000004</t>
        </is>
      </c>
      <c r="G137" s="2" t="inlineStr">
        <is>
          <t>R6.htm</t>
        </is>
      </c>
      <c r="H137" s="2" t="inlineStr">
        <is>
          <t>Interest paid</t>
        </is>
      </c>
      <c r="I137" s="2" t="inlineStr">
        <is>
          <t>Interest paid is inside operating cash flow</t>
        </is>
      </c>
    </row>
    <row r="138">
      <c r="A138" s="2" t="inlineStr">
        <is>
          <t>Novartis</t>
        </is>
      </c>
      <c r="B138" s="2" t="n">
        <v>2023</v>
      </c>
      <c r="C138" s="2" t="inlineStr">
        <is>
          <t>interest_received_in_cfo</t>
        </is>
      </c>
      <c r="D138" s="2" t="n">
        <v>645</v>
      </c>
      <c r="E138" s="2" t="inlineStr">
        <is>
          <t>USD</t>
        </is>
      </c>
      <c r="F138" s="2" t="inlineStr">
        <is>
          <t>0001114448-26-000004</t>
        </is>
      </c>
      <c r="G138" s="2" t="inlineStr">
        <is>
          <t>R6.htm</t>
        </is>
      </c>
      <c r="H138" s="2" t="inlineStr">
        <is>
          <t>Interest received</t>
        </is>
      </c>
      <c r="I138" s="2" t="inlineStr">
        <is>
          <t>Interest received is inside operating cash flow</t>
        </is>
      </c>
    </row>
    <row r="139">
      <c r="A139" s="2" t="inlineStr">
        <is>
          <t>Novartis</t>
        </is>
      </c>
      <c r="B139" s="2" t="n">
        <v>2024</v>
      </c>
      <c r="C139" s="2" t="inlineStr">
        <is>
          <t>interest_received_in_cfo</t>
        </is>
      </c>
      <c r="D139" s="2" t="n">
        <v>489</v>
      </c>
      <c r="E139" s="2" t="inlineStr">
        <is>
          <t>USD</t>
        </is>
      </c>
      <c r="F139" s="2" t="inlineStr">
        <is>
          <t>0001114448-26-000004</t>
        </is>
      </c>
      <c r="G139" s="2" t="inlineStr">
        <is>
          <t>R6.htm</t>
        </is>
      </c>
      <c r="H139" s="2" t="inlineStr">
        <is>
          <t>Interest received</t>
        </is>
      </c>
      <c r="I139" s="2" t="inlineStr">
        <is>
          <t>Interest received is inside operating cash flow</t>
        </is>
      </c>
    </row>
    <row r="140">
      <c r="A140" s="2" t="inlineStr">
        <is>
          <t>Novartis</t>
        </is>
      </c>
      <c r="B140" s="2" t="n">
        <v>2025</v>
      </c>
      <c r="C140" s="2" t="inlineStr">
        <is>
          <t>interest_received_in_cfo</t>
        </is>
      </c>
      <c r="D140" s="2" t="n">
        <v>310</v>
      </c>
      <c r="E140" s="2" t="inlineStr">
        <is>
          <t>USD</t>
        </is>
      </c>
      <c r="F140" s="2" t="inlineStr">
        <is>
          <t>0001114448-26-000004</t>
        </is>
      </c>
      <c r="G140" s="2" t="inlineStr">
        <is>
          <t>R6.htm</t>
        </is>
      </c>
      <c r="H140" s="2" t="inlineStr">
        <is>
          <t>Interest received</t>
        </is>
      </c>
      <c r="I140" s="2" t="inlineStr">
        <is>
          <t>Interest received is inside operating cash flow</t>
        </is>
      </c>
    </row>
    <row r="141">
      <c r="A141" s="2" t="inlineStr">
        <is>
          <t>Novartis</t>
        </is>
      </c>
      <c r="B141" s="2" t="n">
        <v>2023</v>
      </c>
      <c r="C141" s="2" t="inlineStr">
        <is>
          <t>inventories</t>
        </is>
      </c>
      <c r="D141" s="2" t="n">
        <v>5913</v>
      </c>
      <c r="E141" s="2" t="inlineStr">
        <is>
          <t>USD</t>
        </is>
      </c>
      <c r="F141" s="2" t="inlineStr">
        <is>
          <t>0001370368-25-000004</t>
        </is>
      </c>
      <c r="G141" s="2" t="inlineStr">
        <is>
          <t>R4.htm</t>
        </is>
      </c>
      <c r="H141" s="2" t="inlineStr">
        <is>
          <t>Inventories</t>
        </is>
      </c>
      <c r="I141" s="2" t="inlineStr"/>
    </row>
    <row r="142">
      <c r="A142" s="2" t="inlineStr">
        <is>
          <t>Novartis</t>
        </is>
      </c>
      <c r="B142" s="2" t="n">
        <v>2024</v>
      </c>
      <c r="C142" s="2" t="inlineStr">
        <is>
          <t>inventories</t>
        </is>
      </c>
      <c r="D142" s="2" t="n">
        <v>5723</v>
      </c>
      <c r="E142" s="2" t="inlineStr">
        <is>
          <t>USD</t>
        </is>
      </c>
      <c r="F142" s="2" t="inlineStr">
        <is>
          <t>0001114448-26-000004</t>
        </is>
      </c>
      <c r="G142" s="2" t="inlineStr">
        <is>
          <t>R4.htm</t>
        </is>
      </c>
      <c r="H142" s="2" t="inlineStr">
        <is>
          <t>Inventories</t>
        </is>
      </c>
      <c r="I142" s="2" t="inlineStr"/>
    </row>
    <row r="143">
      <c r="A143" s="2" t="inlineStr">
        <is>
          <t>Novartis</t>
        </is>
      </c>
      <c r="B143" s="2" t="n">
        <v>2025</v>
      </c>
      <c r="C143" s="2" t="inlineStr">
        <is>
          <t>inventories</t>
        </is>
      </c>
      <c r="D143" s="2" t="n">
        <v>6269</v>
      </c>
      <c r="E143" s="2" t="inlineStr">
        <is>
          <t>USD</t>
        </is>
      </c>
      <c r="F143" s="2" t="inlineStr">
        <is>
          <t>0001114448-26-000004</t>
        </is>
      </c>
      <c r="G143" s="2" t="inlineStr">
        <is>
          <t>R4.htm</t>
        </is>
      </c>
      <c r="H143" s="2" t="inlineStr">
        <is>
          <t>Inventories</t>
        </is>
      </c>
      <c r="I143" s="2" t="inlineStr"/>
    </row>
    <row r="144">
      <c r="A144" s="2" t="inlineStr">
        <is>
          <t>Novartis</t>
        </is>
      </c>
      <c r="B144" s="2" t="n">
        <v>2023</v>
      </c>
      <c r="C144" s="2" t="inlineStr">
        <is>
          <t>lease_current</t>
        </is>
      </c>
      <c r="D144" s="2" t="n">
        <v>230</v>
      </c>
      <c r="E144" s="2" t="inlineStr">
        <is>
          <t>USD</t>
        </is>
      </c>
      <c r="F144" s="2" t="inlineStr">
        <is>
          <t>0001370368-25-000004</t>
        </is>
      </c>
      <c r="G144" s="2" t="inlineStr">
        <is>
          <t>R4.htm</t>
        </is>
      </c>
      <c r="H144" s="2" t="inlineStr">
        <is>
          <t>Lease liabilities</t>
        </is>
      </c>
      <c r="I144" s="2" t="inlineStr"/>
    </row>
    <row r="145">
      <c r="A145" s="2" t="inlineStr">
        <is>
          <t>Novartis</t>
        </is>
      </c>
      <c r="B145" s="2" t="n">
        <v>2024</v>
      </c>
      <c r="C145" s="2" t="inlineStr">
        <is>
          <t>lease_current</t>
        </is>
      </c>
      <c r="D145" s="2" t="n">
        <v>235</v>
      </c>
      <c r="E145" s="2" t="inlineStr">
        <is>
          <t>USD</t>
        </is>
      </c>
      <c r="F145" s="2" t="inlineStr">
        <is>
          <t>0001114448-26-000004</t>
        </is>
      </c>
      <c r="G145" s="2" t="inlineStr">
        <is>
          <t>R4.htm</t>
        </is>
      </c>
      <c r="H145" s="2" t="inlineStr">
        <is>
          <t>Lease liabilities</t>
        </is>
      </c>
      <c r="I145" s="2" t="inlineStr"/>
    </row>
    <row r="146">
      <c r="A146" s="2" t="inlineStr">
        <is>
          <t>Novartis</t>
        </is>
      </c>
      <c r="B146" s="2" t="n">
        <v>2025</v>
      </c>
      <c r="C146" s="2" t="inlineStr">
        <is>
          <t>lease_current</t>
        </is>
      </c>
      <c r="D146" s="2" t="n">
        <v>263</v>
      </c>
      <c r="E146" s="2" t="inlineStr">
        <is>
          <t>USD</t>
        </is>
      </c>
      <c r="F146" s="2" t="inlineStr">
        <is>
          <t>0001114448-26-000004</t>
        </is>
      </c>
      <c r="G146" s="2" t="inlineStr">
        <is>
          <t>R4.htm</t>
        </is>
      </c>
      <c r="H146" s="2" t="inlineStr">
        <is>
          <t>Lease liabilities</t>
        </is>
      </c>
      <c r="I146" s="2" t="inlineStr"/>
    </row>
    <row r="147">
      <c r="A147" s="2" t="inlineStr">
        <is>
          <t>Novartis</t>
        </is>
      </c>
      <c r="B147" s="2" t="n">
        <v>2023</v>
      </c>
      <c r="C147" s="2" t="inlineStr">
        <is>
          <t>lease_noncurrent</t>
        </is>
      </c>
      <c r="D147" s="2" t="n">
        <v>1598</v>
      </c>
      <c r="E147" s="2" t="inlineStr">
        <is>
          <t>USD</t>
        </is>
      </c>
      <c r="F147" s="2" t="inlineStr">
        <is>
          <t>0001370368-25-000004</t>
        </is>
      </c>
      <c r="G147" s="2" t="inlineStr">
        <is>
          <t>R4.htm</t>
        </is>
      </c>
      <c r="H147" s="2" t="inlineStr">
        <is>
          <t>Lease liabilities</t>
        </is>
      </c>
      <c r="I147" s="2" t="inlineStr"/>
    </row>
    <row r="148">
      <c r="A148" s="2" t="inlineStr">
        <is>
          <t>Novartis</t>
        </is>
      </c>
      <c r="B148" s="2" t="n">
        <v>2024</v>
      </c>
      <c r="C148" s="2" t="inlineStr">
        <is>
          <t>lease_noncurrent</t>
        </is>
      </c>
      <c r="D148" s="2" t="n">
        <v>1568</v>
      </c>
      <c r="E148" s="2" t="inlineStr">
        <is>
          <t>USD</t>
        </is>
      </c>
      <c r="F148" s="2" t="inlineStr">
        <is>
          <t>0001114448-26-000004</t>
        </is>
      </c>
      <c r="G148" s="2" t="inlineStr">
        <is>
          <t>R4.htm</t>
        </is>
      </c>
      <c r="H148" s="2" t="inlineStr">
        <is>
          <t>Lease liabilities</t>
        </is>
      </c>
      <c r="I148" s="2" t="inlineStr"/>
    </row>
    <row r="149">
      <c r="A149" s="2" t="inlineStr">
        <is>
          <t>Novartis</t>
        </is>
      </c>
      <c r="B149" s="2" t="n">
        <v>2025</v>
      </c>
      <c r="C149" s="2" t="inlineStr">
        <is>
          <t>lease_noncurrent</t>
        </is>
      </c>
      <c r="D149" s="2" t="n">
        <v>1657</v>
      </c>
      <c r="E149" s="2" t="inlineStr">
        <is>
          <t>USD</t>
        </is>
      </c>
      <c r="F149" s="2" t="inlineStr">
        <is>
          <t>0001114448-26-000004</t>
        </is>
      </c>
      <c r="G149" s="2" t="inlineStr">
        <is>
          <t>R4.htm</t>
        </is>
      </c>
      <c r="H149" s="2" t="inlineStr">
        <is>
          <t>Lease liabilities</t>
        </is>
      </c>
      <c r="I149" s="2" t="inlineStr"/>
    </row>
    <row r="150">
      <c r="A150" s="2" t="inlineStr">
        <is>
          <t>Novartis</t>
        </is>
      </c>
      <c r="B150" s="2" t="n">
        <v>2023</v>
      </c>
      <c r="C150" s="2" t="inlineStr">
        <is>
          <t>lease_principal</t>
        </is>
      </c>
      <c r="D150" s="2" t="n">
        <v>258</v>
      </c>
      <c r="E150" s="2" t="inlineStr">
        <is>
          <t>USD</t>
        </is>
      </c>
      <c r="F150" s="2" t="inlineStr">
        <is>
          <t>0001114448-26-000004</t>
        </is>
      </c>
      <c r="G150" s="2" t="inlineStr">
        <is>
          <t>R6.htm</t>
        </is>
      </c>
      <c r="H150" s="2" t="inlineStr">
        <is>
          <t>Payments of lease liabilities</t>
        </is>
      </c>
      <c r="I150" s="2" t="inlineStr"/>
    </row>
    <row r="151">
      <c r="A151" s="2" t="inlineStr">
        <is>
          <t>Novartis</t>
        </is>
      </c>
      <c r="B151" s="2" t="n">
        <v>2024</v>
      </c>
      <c r="C151" s="2" t="inlineStr">
        <is>
          <t>lease_principal</t>
        </is>
      </c>
      <c r="D151" s="2" t="n">
        <v>262</v>
      </c>
      <c r="E151" s="2" t="inlineStr">
        <is>
          <t>USD</t>
        </is>
      </c>
      <c r="F151" s="2" t="inlineStr">
        <is>
          <t>0001114448-26-000004</t>
        </is>
      </c>
      <c r="G151" s="2" t="inlineStr">
        <is>
          <t>R6.htm</t>
        </is>
      </c>
      <c r="H151" s="2" t="inlineStr">
        <is>
          <t>Payments of lease liabilities</t>
        </is>
      </c>
      <c r="I151" s="2" t="inlineStr"/>
    </row>
    <row r="152">
      <c r="A152" s="2" t="inlineStr">
        <is>
          <t>Novartis</t>
        </is>
      </c>
      <c r="B152" s="2" t="n">
        <v>2025</v>
      </c>
      <c r="C152" s="2" t="inlineStr">
        <is>
          <t>lease_principal</t>
        </is>
      </c>
      <c r="D152" s="2" t="n">
        <v>281</v>
      </c>
      <c r="E152" s="2" t="inlineStr">
        <is>
          <t>USD</t>
        </is>
      </c>
      <c r="F152" s="2" t="inlineStr">
        <is>
          <t>0001114448-26-000004</t>
        </is>
      </c>
      <c r="G152" s="2" t="inlineStr">
        <is>
          <t>R6.htm</t>
        </is>
      </c>
      <c r="H152" s="2" t="inlineStr">
        <is>
          <t>Payments of lease liabilities</t>
        </is>
      </c>
      <c r="I152" s="2" t="inlineStr"/>
    </row>
    <row r="153">
      <c r="A153" s="2" t="inlineStr">
        <is>
          <t>Novartis</t>
        </is>
      </c>
      <c r="B153" s="2" t="n">
        <v>2023</v>
      </c>
      <c r="C153" s="2" t="inlineStr">
        <is>
          <t>nci_book</t>
        </is>
      </c>
      <c r="D153" s="2" t="n">
        <v>83</v>
      </c>
      <c r="E153" s="2" t="inlineStr">
        <is>
          <t>USD</t>
        </is>
      </c>
      <c r="F153" s="2" t="inlineStr">
        <is>
          <t>0001370368-25-000004</t>
        </is>
      </c>
      <c r="G153" s="2" t="inlineStr">
        <is>
          <t>R4.htm</t>
        </is>
      </c>
      <c r="H153" s="2" t="inlineStr">
        <is>
          <t>Non-controlling interests</t>
        </is>
      </c>
      <c r="I153" s="2" t="inlineStr"/>
    </row>
    <row r="154">
      <c r="A154" s="2" t="inlineStr">
        <is>
          <t>Novartis</t>
        </is>
      </c>
      <c r="B154" s="2" t="n">
        <v>2024</v>
      </c>
      <c r="C154" s="2" t="inlineStr">
        <is>
          <t>nci_book</t>
        </is>
      </c>
      <c r="D154" s="2" t="n">
        <v>80</v>
      </c>
      <c r="E154" s="2" t="inlineStr">
        <is>
          <t>USD</t>
        </is>
      </c>
      <c r="F154" s="2" t="inlineStr">
        <is>
          <t>0001114448-26-000004</t>
        </is>
      </c>
      <c r="G154" s="2" t="inlineStr">
        <is>
          <t>R4.htm</t>
        </is>
      </c>
      <c r="H154" s="2" t="inlineStr">
        <is>
          <t>Non-controlling interests</t>
        </is>
      </c>
      <c r="I154" s="2" t="inlineStr"/>
    </row>
    <row r="155">
      <c r="A155" s="2" t="inlineStr">
        <is>
          <t>Novartis</t>
        </is>
      </c>
      <c r="B155" s="2" t="n">
        <v>2025</v>
      </c>
      <c r="C155" s="2" t="inlineStr">
        <is>
          <t>nci_book</t>
        </is>
      </c>
      <c r="D155" s="2" t="n">
        <v>419</v>
      </c>
      <c r="E155" s="2" t="inlineStr">
        <is>
          <t>USD</t>
        </is>
      </c>
      <c r="F155" s="2" t="inlineStr">
        <is>
          <t>0001114448-26-000004</t>
        </is>
      </c>
      <c r="G155" s="2" t="inlineStr">
        <is>
          <t>R4.htm</t>
        </is>
      </c>
      <c r="H155" s="2" t="inlineStr">
        <is>
          <t>Non-controlling interests</t>
        </is>
      </c>
      <c r="I155" s="2" t="inlineStr"/>
    </row>
    <row r="156">
      <c r="A156" s="2" t="inlineStr">
        <is>
          <t>Novartis</t>
        </is>
      </c>
      <c r="B156" s="2" t="n">
        <v>2023</v>
      </c>
      <c r="C156" s="2" t="inlineStr">
        <is>
          <t>nci_profit</t>
        </is>
      </c>
      <c r="D156" s="2" t="n">
        <v>4</v>
      </c>
      <c r="E156" s="2" t="inlineStr">
        <is>
          <t>USD</t>
        </is>
      </c>
      <c r="F156" s="2" t="inlineStr">
        <is>
          <t>0001114448-26-000004</t>
        </is>
      </c>
      <c r="G156" s="2" t="inlineStr">
        <is>
          <t>R2.htm</t>
        </is>
      </c>
      <c r="H156" s="2" t="inlineStr">
        <is>
          <t>Non-controlling interests</t>
        </is>
      </c>
      <c r="I156" s="2" t="inlineStr"/>
    </row>
    <row r="157">
      <c r="A157" s="2" t="inlineStr">
        <is>
          <t>Novartis</t>
        </is>
      </c>
      <c r="B157" s="2" t="n">
        <v>2024</v>
      </c>
      <c r="C157" s="2" t="inlineStr">
        <is>
          <t>nci_profit</t>
        </is>
      </c>
      <c r="D157" s="2" t="n">
        <v>-2</v>
      </c>
      <c r="E157" s="2" t="inlineStr">
        <is>
          <t>USD</t>
        </is>
      </c>
      <c r="F157" s="2" t="inlineStr">
        <is>
          <t>0001114448-26-000004</t>
        </is>
      </c>
      <c r="G157" s="2" t="inlineStr">
        <is>
          <t>R2.htm</t>
        </is>
      </c>
      <c r="H157" s="2" t="inlineStr">
        <is>
          <t>Non-controlling interests</t>
        </is>
      </c>
      <c r="I157" s="2" t="inlineStr"/>
    </row>
    <row r="158">
      <c r="A158" s="2" t="inlineStr">
        <is>
          <t>Novartis</t>
        </is>
      </c>
      <c r="B158" s="2" t="n">
        <v>2025</v>
      </c>
      <c r="C158" s="2" t="inlineStr">
        <is>
          <t>nci_profit</t>
        </is>
      </c>
      <c r="D158" s="2" t="n">
        <v>-17</v>
      </c>
      <c r="E158" s="2" t="inlineStr">
        <is>
          <t>USD</t>
        </is>
      </c>
      <c r="F158" s="2" t="inlineStr">
        <is>
          <t>0001114448-26-000004</t>
        </is>
      </c>
      <c r="G158" s="2" t="inlineStr">
        <is>
          <t>R2.htm</t>
        </is>
      </c>
      <c r="H158" s="2" t="inlineStr">
        <is>
          <t>Non-controlling interests</t>
        </is>
      </c>
      <c r="I158" s="2" t="inlineStr"/>
    </row>
    <row r="159">
      <c r="A159" s="2" t="inlineStr">
        <is>
          <t>Novartis</t>
        </is>
      </c>
      <c r="B159" s="2" t="n">
        <v>2023</v>
      </c>
      <c r="C159" s="2" t="inlineStr">
        <is>
          <t>net_income</t>
        </is>
      </c>
      <c r="D159" s="2" t="n">
        <v>8572</v>
      </c>
      <c r="E159" s="2" t="inlineStr">
        <is>
          <t>USD</t>
        </is>
      </c>
      <c r="F159" s="2" t="inlineStr">
        <is>
          <t>0001114448-26-000004</t>
        </is>
      </c>
      <c r="G159" s="2" t="inlineStr">
        <is>
          <t>R2.htm</t>
        </is>
      </c>
      <c r="H159" s="2" t="inlineStr">
        <is>
          <t>Net income from continuing operations</t>
        </is>
      </c>
      <c r="I159" s="2" t="inlineStr">
        <is>
          <t>Continuing operations; 2023 excludes the Sandoz spin-off</t>
        </is>
      </c>
    </row>
    <row r="160">
      <c r="A160" s="2" t="inlineStr">
        <is>
          <t>Novartis</t>
        </is>
      </c>
      <c r="B160" s="2" t="n">
        <v>2024</v>
      </c>
      <c r="C160" s="2" t="inlineStr">
        <is>
          <t>net_income</t>
        </is>
      </c>
      <c r="D160" s="2" t="n">
        <v>11939</v>
      </c>
      <c r="E160" s="2" t="inlineStr">
        <is>
          <t>USD</t>
        </is>
      </c>
      <c r="F160" s="2" t="inlineStr">
        <is>
          <t>0001114448-26-000004</t>
        </is>
      </c>
      <c r="G160" s="2" t="inlineStr">
        <is>
          <t>R2.htm</t>
        </is>
      </c>
      <c r="H160" s="2" t="inlineStr">
        <is>
          <t>Net income from continuing operations</t>
        </is>
      </c>
      <c r="I160" s="2" t="inlineStr">
        <is>
          <t>Continuing operations; 2023 excludes the Sandoz spin-off</t>
        </is>
      </c>
    </row>
    <row r="161">
      <c r="A161" s="2" t="inlineStr">
        <is>
          <t>Novartis</t>
        </is>
      </c>
      <c r="B161" s="2" t="n">
        <v>2025</v>
      </c>
      <c r="C161" s="2" t="inlineStr">
        <is>
          <t>net_income</t>
        </is>
      </c>
      <c r="D161" s="2" t="n">
        <v>13967</v>
      </c>
      <c r="E161" s="2" t="inlineStr">
        <is>
          <t>USD</t>
        </is>
      </c>
      <c r="F161" s="2" t="inlineStr">
        <is>
          <t>0001114448-26-000004</t>
        </is>
      </c>
      <c r="G161" s="2" t="inlineStr">
        <is>
          <t>R2.htm</t>
        </is>
      </c>
      <c r="H161" s="2" t="inlineStr">
        <is>
          <t>Net income from continuing operations</t>
        </is>
      </c>
      <c r="I161" s="2" t="inlineStr">
        <is>
          <t>Continuing operations; 2023 excludes the Sandoz spin-off</t>
        </is>
      </c>
    </row>
    <row r="162">
      <c r="A162" s="2" t="inlineStr">
        <is>
          <t>Novartis</t>
        </is>
      </c>
      <c r="B162" s="2" t="n">
        <v>2023</v>
      </c>
      <c r="C162" s="2" t="inlineStr">
        <is>
          <t>operating_income</t>
        </is>
      </c>
      <c r="D162" s="2" t="n">
        <v>9769</v>
      </c>
      <c r="E162" s="2" t="inlineStr">
        <is>
          <t>USD</t>
        </is>
      </c>
      <c r="F162" s="2" t="inlineStr">
        <is>
          <t>0001114448-26-000004</t>
        </is>
      </c>
      <c r="G162" s="2" t="inlineStr">
        <is>
          <t>R2.htm</t>
        </is>
      </c>
      <c r="H162" s="2" t="inlineStr">
        <is>
          <t>Operating income from continuing operations</t>
        </is>
      </c>
      <c r="I162" s="2" t="inlineStr"/>
    </row>
    <row r="163">
      <c r="A163" s="2" t="inlineStr">
        <is>
          <t>Novartis</t>
        </is>
      </c>
      <c r="B163" s="2" t="n">
        <v>2024</v>
      </c>
      <c r="C163" s="2" t="inlineStr">
        <is>
          <t>operating_income</t>
        </is>
      </c>
      <c r="D163" s="2" t="n">
        <v>14544</v>
      </c>
      <c r="E163" s="2" t="inlineStr">
        <is>
          <t>USD</t>
        </is>
      </c>
      <c r="F163" s="2" t="inlineStr">
        <is>
          <t>0001114448-26-000004</t>
        </is>
      </c>
      <c r="G163" s="2" t="inlineStr">
        <is>
          <t>R2.htm</t>
        </is>
      </c>
      <c r="H163" s="2" t="inlineStr">
        <is>
          <t>Operating income from continuing operations</t>
        </is>
      </c>
      <c r="I163" s="2" t="inlineStr"/>
    </row>
    <row r="164">
      <c r="A164" s="2" t="inlineStr">
        <is>
          <t>Novartis</t>
        </is>
      </c>
      <c r="B164" s="2" t="n">
        <v>2025</v>
      </c>
      <c r="C164" s="2" t="inlineStr">
        <is>
          <t>operating_income</t>
        </is>
      </c>
      <c r="D164" s="2" t="n">
        <v>17644</v>
      </c>
      <c r="E164" s="2" t="inlineStr">
        <is>
          <t>USD</t>
        </is>
      </c>
      <c r="F164" s="2" t="inlineStr">
        <is>
          <t>0001114448-26-000004</t>
        </is>
      </c>
      <c r="G164" s="2" t="inlineStr">
        <is>
          <t>R2.htm</t>
        </is>
      </c>
      <c r="H164" s="2" t="inlineStr">
        <is>
          <t>Operating income from continuing operations</t>
        </is>
      </c>
      <c r="I164" s="2" t="inlineStr"/>
    </row>
    <row r="165">
      <c r="A165" s="2" t="inlineStr">
        <is>
          <t>Novartis</t>
        </is>
      </c>
      <c r="B165" s="2" t="n">
        <v>2023</v>
      </c>
      <c r="C165" s="2" t="inlineStr">
        <is>
          <t>other_financial_assets</t>
        </is>
      </c>
      <c r="D165" s="2" t="n">
        <v>2607</v>
      </c>
      <c r="E165" s="2" t="inlineStr">
        <is>
          <t>USD</t>
        </is>
      </c>
      <c r="F165" s="2" t="inlineStr">
        <is>
          <t>0001370368-25-000004</t>
        </is>
      </c>
      <c r="G165" s="2" t="inlineStr">
        <is>
          <t>R4.htm</t>
        </is>
      </c>
      <c r="H165" s="2" t="inlineStr">
        <is>
          <t>Financial assets</t>
        </is>
      </c>
      <c r="I165" s="2" t="inlineStr">
        <is>
          <t>Non-current financial assets, book value</t>
        </is>
      </c>
    </row>
    <row r="166">
      <c r="A166" s="2" t="inlineStr">
        <is>
          <t>Novartis</t>
        </is>
      </c>
      <c r="B166" s="2" t="n">
        <v>2024</v>
      </c>
      <c r="C166" s="2" t="inlineStr">
        <is>
          <t>other_financial_assets</t>
        </is>
      </c>
      <c r="D166" s="2" t="n">
        <v>2015</v>
      </c>
      <c r="E166" s="2" t="inlineStr">
        <is>
          <t>USD</t>
        </is>
      </c>
      <c r="F166" s="2" t="inlineStr">
        <is>
          <t>0001114448-26-000004</t>
        </is>
      </c>
      <c r="G166" s="2" t="inlineStr">
        <is>
          <t>R4.htm</t>
        </is>
      </c>
      <c r="H166" s="2" t="inlineStr">
        <is>
          <t>Financial assets</t>
        </is>
      </c>
      <c r="I166" s="2" t="inlineStr">
        <is>
          <t>Non-current financial assets, book value</t>
        </is>
      </c>
    </row>
    <row r="167">
      <c r="A167" s="2" t="inlineStr">
        <is>
          <t>Novartis</t>
        </is>
      </c>
      <c r="B167" s="2" t="n">
        <v>2025</v>
      </c>
      <c r="C167" s="2" t="inlineStr">
        <is>
          <t>other_financial_assets</t>
        </is>
      </c>
      <c r="D167" s="2" t="n">
        <v>2348</v>
      </c>
      <c r="E167" s="2" t="inlineStr">
        <is>
          <t>USD</t>
        </is>
      </c>
      <c r="F167" s="2" t="inlineStr">
        <is>
          <t>0001114448-26-000004</t>
        </is>
      </c>
      <c r="G167" s="2" t="inlineStr">
        <is>
          <t>R4.htm</t>
        </is>
      </c>
      <c r="H167" s="2" t="inlineStr">
        <is>
          <t>Financial assets</t>
        </is>
      </c>
      <c r="I167" s="2" t="inlineStr">
        <is>
          <t>Non-current financial assets, book value</t>
        </is>
      </c>
    </row>
    <row r="168">
      <c r="A168" s="2" t="inlineStr">
        <is>
          <t>Novartis</t>
        </is>
      </c>
      <c r="B168" s="2" t="n">
        <v>2023</v>
      </c>
      <c r="C168" s="2" t="inlineStr">
        <is>
          <t>payables</t>
        </is>
      </c>
      <c r="D168" s="2" t="n">
        <v>4926</v>
      </c>
      <c r="E168" s="2" t="inlineStr">
        <is>
          <t>USD</t>
        </is>
      </c>
      <c r="F168" s="2" t="inlineStr">
        <is>
          <t>0001370368-25-000004</t>
        </is>
      </c>
      <c r="G168" s="2" t="inlineStr">
        <is>
          <t>R4.htm</t>
        </is>
      </c>
      <c r="H168" s="2" t="inlineStr">
        <is>
          <t>Trade payables</t>
        </is>
      </c>
      <c r="I168" s="2" t="inlineStr"/>
    </row>
    <row r="169">
      <c r="A169" s="2" t="inlineStr">
        <is>
          <t>Novartis</t>
        </is>
      </c>
      <c r="B169" s="2" t="n">
        <v>2024</v>
      </c>
      <c r="C169" s="2" t="inlineStr">
        <is>
          <t>payables</t>
        </is>
      </c>
      <c r="D169" s="2" t="n">
        <v>4572</v>
      </c>
      <c r="E169" s="2" t="inlineStr">
        <is>
          <t>USD</t>
        </is>
      </c>
      <c r="F169" s="2" t="inlineStr">
        <is>
          <t>0001114448-26-000004</t>
        </is>
      </c>
      <c r="G169" s="2" t="inlineStr">
        <is>
          <t>R4.htm</t>
        </is>
      </c>
      <c r="H169" s="2" t="inlineStr">
        <is>
          <t>Trade payables</t>
        </is>
      </c>
      <c r="I169" s="2" t="inlineStr"/>
    </row>
    <row r="170">
      <c r="A170" s="2" t="inlineStr">
        <is>
          <t>Novartis</t>
        </is>
      </c>
      <c r="B170" s="2" t="n">
        <v>2025</v>
      </c>
      <c r="C170" s="2" t="inlineStr">
        <is>
          <t>payables</t>
        </is>
      </c>
      <c r="D170" s="2" t="n">
        <v>4456</v>
      </c>
      <c r="E170" s="2" t="inlineStr">
        <is>
          <t>USD</t>
        </is>
      </c>
      <c r="F170" s="2" t="inlineStr">
        <is>
          <t>0001114448-26-000004</t>
        </is>
      </c>
      <c r="G170" s="2" t="inlineStr">
        <is>
          <t>R4.htm</t>
        </is>
      </c>
      <c r="H170" s="2" t="inlineStr">
        <is>
          <t>Trade payables</t>
        </is>
      </c>
      <c r="I170" s="2" t="inlineStr"/>
    </row>
    <row r="171">
      <c r="A171" s="2" t="inlineStr">
        <is>
          <t>Novartis</t>
        </is>
      </c>
      <c r="B171" s="2" t="n">
        <v>2023</v>
      </c>
      <c r="C171" s="2" t="inlineStr">
        <is>
          <t>pension_liability</t>
        </is>
      </c>
      <c r="D171" s="2" t="n">
        <v>1815</v>
      </c>
      <c r="E171" s="2" t="inlineStr">
        <is>
          <t>USD</t>
        </is>
      </c>
      <c r="F171" s="2" t="inlineStr">
        <is>
          <t>0001370368-25-000004</t>
        </is>
      </c>
      <c r="G171" s="2" t="inlineStr">
        <is>
          <t>XBRL fact</t>
        </is>
      </c>
      <c r="H171" s="2" t="inlineStr">
        <is>
          <t>ifrs-full:NoncurrentRecognisedLiabilitiesDefinedBenefitPlan</t>
        </is>
      </c>
      <c r="I171" s="2" t="inlineStr">
        <is>
          <t>Recognised liability only; plan surpluses are not netted</t>
        </is>
      </c>
    </row>
    <row r="172">
      <c r="A172" s="2" t="inlineStr">
        <is>
          <t>Novartis</t>
        </is>
      </c>
      <c r="B172" s="2" t="n">
        <v>2024</v>
      </c>
      <c r="C172" s="2" t="inlineStr">
        <is>
          <t>pension_liability</t>
        </is>
      </c>
      <c r="D172" s="2" t="n">
        <v>1571</v>
      </c>
      <c r="E172" s="2" t="inlineStr">
        <is>
          <t>USD</t>
        </is>
      </c>
      <c r="F172" s="2" t="inlineStr">
        <is>
          <t>0001114448-26-000004</t>
        </is>
      </c>
      <c r="G172" s="2" t="inlineStr">
        <is>
          <t>XBRL fact</t>
        </is>
      </c>
      <c r="H172" s="2" t="inlineStr">
        <is>
          <t>ifrs-full:NoncurrentRecognisedLiabilitiesDefinedBenefitPlan</t>
        </is>
      </c>
      <c r="I172" s="2" t="inlineStr">
        <is>
          <t>Recognised liability only; plan surpluses are not netted</t>
        </is>
      </c>
    </row>
    <row r="173">
      <c r="A173" s="2" t="inlineStr">
        <is>
          <t>Novartis</t>
        </is>
      </c>
      <c r="B173" s="2" t="n">
        <v>2025</v>
      </c>
      <c r="C173" s="2" t="inlineStr">
        <is>
          <t>pension_liability</t>
        </is>
      </c>
      <c r="D173" s="2" t="n">
        <v>1635</v>
      </c>
      <c r="E173" s="2" t="inlineStr">
        <is>
          <t>USD</t>
        </is>
      </c>
      <c r="F173" s="2" t="inlineStr">
        <is>
          <t>0001114448-26-000004</t>
        </is>
      </c>
      <c r="G173" s="2" t="inlineStr">
        <is>
          <t>XBRL fact</t>
        </is>
      </c>
      <c r="H173" s="2" t="inlineStr">
        <is>
          <t>ifrs-full:NoncurrentRecognisedLiabilitiesDefinedBenefitPlan</t>
        </is>
      </c>
      <c r="I173" s="2" t="inlineStr">
        <is>
          <t>Recognised liability only; plan surpluses are not netted</t>
        </is>
      </c>
    </row>
    <row r="174">
      <c r="A174" s="2" t="inlineStr">
        <is>
          <t>Novartis</t>
        </is>
      </c>
      <c r="B174" s="2" t="n">
        <v>2023</v>
      </c>
      <c r="C174" s="2" t="inlineStr">
        <is>
          <t>pretax_income</t>
        </is>
      </c>
      <c r="D174" s="2" t="n">
        <v>9123</v>
      </c>
      <c r="E174" s="2" t="inlineStr">
        <is>
          <t>USD</t>
        </is>
      </c>
      <c r="F174" s="2" t="inlineStr">
        <is>
          <t>0001114448-26-000004</t>
        </is>
      </c>
      <c r="G174" s="2" t="inlineStr">
        <is>
          <t>R2.htm</t>
        </is>
      </c>
      <c r="H174" s="2" t="inlineStr">
        <is>
          <t>Income before taxes from continuing operations</t>
        </is>
      </c>
      <c r="I174" s="2" t="inlineStr"/>
    </row>
    <row r="175">
      <c r="A175" s="2" t="inlineStr">
        <is>
          <t>Novartis</t>
        </is>
      </c>
      <c r="B175" s="2" t="n">
        <v>2024</v>
      </c>
      <c r="C175" s="2" t="inlineStr">
        <is>
          <t>pretax_income</t>
        </is>
      </c>
      <c r="D175" s="2" t="n">
        <v>13640</v>
      </c>
      <c r="E175" s="2" t="inlineStr">
        <is>
          <t>USD</t>
        </is>
      </c>
      <c r="F175" s="2" t="inlineStr">
        <is>
          <t>0001114448-26-000004</t>
        </is>
      </c>
      <c r="G175" s="2" t="inlineStr">
        <is>
          <t>R2.htm</t>
        </is>
      </c>
      <c r="H175" s="2" t="inlineStr">
        <is>
          <t>Income before taxes from continuing operations</t>
        </is>
      </c>
      <c r="I175" s="2" t="inlineStr"/>
    </row>
    <row r="176">
      <c r="A176" s="2" t="inlineStr">
        <is>
          <t>Novartis</t>
        </is>
      </c>
      <c r="B176" s="2" t="n">
        <v>2025</v>
      </c>
      <c r="C176" s="2" t="inlineStr">
        <is>
          <t>pretax_income</t>
        </is>
      </c>
      <c r="D176" s="2" t="n">
        <v>16352</v>
      </c>
      <c r="E176" s="2" t="inlineStr">
        <is>
          <t>USD</t>
        </is>
      </c>
      <c r="F176" s="2" t="inlineStr">
        <is>
          <t>0001114448-26-000004</t>
        </is>
      </c>
      <c r="G176" s="2" t="inlineStr">
        <is>
          <t>R2.htm</t>
        </is>
      </c>
      <c r="H176" s="2" t="inlineStr">
        <is>
          <t>Income before taxes from continuing operations</t>
        </is>
      </c>
      <c r="I176" s="2" t="inlineStr"/>
    </row>
    <row r="177">
      <c r="A177" s="2" t="inlineStr">
        <is>
          <t>Novartis</t>
        </is>
      </c>
      <c r="B177" s="2" t="n">
        <v>2023</v>
      </c>
      <c r="C177" s="2" t="inlineStr">
        <is>
          <t>r_and_d</t>
        </is>
      </c>
      <c r="D177" s="2" t="n">
        <v>11371</v>
      </c>
      <c r="E177" s="2" t="inlineStr">
        <is>
          <t>USD</t>
        </is>
      </c>
      <c r="F177" s="2" t="inlineStr">
        <is>
          <t>0001114448-26-000004</t>
        </is>
      </c>
      <c r="G177" s="2" t="inlineStr">
        <is>
          <t>R2.htm</t>
        </is>
      </c>
      <c r="H177" s="2" t="inlineStr">
        <is>
          <t>Research and development</t>
        </is>
      </c>
      <c r="I177" s="2" t="inlineStr"/>
    </row>
    <row r="178">
      <c r="A178" s="2" t="inlineStr">
        <is>
          <t>Novartis</t>
        </is>
      </c>
      <c r="B178" s="2" t="n">
        <v>2024</v>
      </c>
      <c r="C178" s="2" t="inlineStr">
        <is>
          <t>r_and_d</t>
        </is>
      </c>
      <c r="D178" s="2" t="n">
        <v>10022</v>
      </c>
      <c r="E178" s="2" t="inlineStr">
        <is>
          <t>USD</t>
        </is>
      </c>
      <c r="F178" s="2" t="inlineStr">
        <is>
          <t>0001114448-26-000004</t>
        </is>
      </c>
      <c r="G178" s="2" t="inlineStr">
        <is>
          <t>R2.htm</t>
        </is>
      </c>
      <c r="H178" s="2" t="inlineStr">
        <is>
          <t>Research and development</t>
        </is>
      </c>
      <c r="I178" s="2" t="inlineStr"/>
    </row>
    <row r="179">
      <c r="A179" s="2" t="inlineStr">
        <is>
          <t>Novartis</t>
        </is>
      </c>
      <c r="B179" s="2" t="n">
        <v>2025</v>
      </c>
      <c r="C179" s="2" t="inlineStr">
        <is>
          <t>r_and_d</t>
        </is>
      </c>
      <c r="D179" s="2" t="n">
        <v>11200</v>
      </c>
      <c r="E179" s="2" t="inlineStr">
        <is>
          <t>USD</t>
        </is>
      </c>
      <c r="F179" s="2" t="inlineStr">
        <is>
          <t>0001114448-26-000004</t>
        </is>
      </c>
      <c r="G179" s="2" t="inlineStr">
        <is>
          <t>R2.htm</t>
        </is>
      </c>
      <c r="H179" s="2" t="inlineStr">
        <is>
          <t>Research and development</t>
        </is>
      </c>
      <c r="I179" s="2" t="inlineStr"/>
    </row>
    <row r="180">
      <c r="A180" s="2" t="inlineStr">
        <is>
          <t>Novartis</t>
        </is>
      </c>
      <c r="B180" s="2" t="n">
        <v>2023</v>
      </c>
      <c r="C180" s="2" t="inlineStr">
        <is>
          <t>receivables</t>
        </is>
      </c>
      <c r="D180" s="2" t="n">
        <v>7107</v>
      </c>
      <c r="E180" s="2" t="inlineStr">
        <is>
          <t>USD</t>
        </is>
      </c>
      <c r="F180" s="2" t="inlineStr">
        <is>
          <t>0001370368-25-000004</t>
        </is>
      </c>
      <c r="G180" s="2" t="inlineStr">
        <is>
          <t>R4.htm</t>
        </is>
      </c>
      <c r="H180" s="2" t="inlineStr">
        <is>
          <t>Trade receivables</t>
        </is>
      </c>
      <c r="I180" s="2" t="inlineStr"/>
    </row>
    <row r="181">
      <c r="A181" s="2" t="inlineStr">
        <is>
          <t>Novartis</t>
        </is>
      </c>
      <c r="B181" s="2" t="n">
        <v>2024</v>
      </c>
      <c r="C181" s="2" t="inlineStr">
        <is>
          <t>receivables</t>
        </is>
      </c>
      <c r="D181" s="2" t="n">
        <v>7423</v>
      </c>
      <c r="E181" s="2" t="inlineStr">
        <is>
          <t>USD</t>
        </is>
      </c>
      <c r="F181" s="2" t="inlineStr">
        <is>
          <t>0001114448-26-000004</t>
        </is>
      </c>
      <c r="G181" s="2" t="inlineStr">
        <is>
          <t>R4.htm</t>
        </is>
      </c>
      <c r="H181" s="2" t="inlineStr">
        <is>
          <t>Trade receivables</t>
        </is>
      </c>
      <c r="I181" s="2" t="inlineStr"/>
    </row>
    <row r="182">
      <c r="A182" s="2" t="inlineStr">
        <is>
          <t>Novartis</t>
        </is>
      </c>
      <c r="B182" s="2" t="n">
        <v>2025</v>
      </c>
      <c r="C182" s="2" t="inlineStr">
        <is>
          <t>receivables</t>
        </is>
      </c>
      <c r="D182" s="2" t="n">
        <v>8937</v>
      </c>
      <c r="E182" s="2" t="inlineStr">
        <is>
          <t>USD</t>
        </is>
      </c>
      <c r="F182" s="2" t="inlineStr">
        <is>
          <t>0001114448-26-000004</t>
        </is>
      </c>
      <c r="G182" s="2" t="inlineStr">
        <is>
          <t>R4.htm</t>
        </is>
      </c>
      <c r="H182" s="2" t="inlineStr">
        <is>
          <t>Trade receivables</t>
        </is>
      </c>
      <c r="I182" s="2" t="inlineStr"/>
    </row>
    <row r="183">
      <c r="A183" s="2" t="inlineStr">
        <is>
          <t>Novartis</t>
        </is>
      </c>
      <c r="B183" s="2" t="n">
        <v>2023</v>
      </c>
      <c r="C183" s="2" t="inlineStr">
        <is>
          <t>revenue</t>
        </is>
      </c>
      <c r="D183" s="2" t="n">
        <v>45440</v>
      </c>
      <c r="E183" s="2" t="inlineStr">
        <is>
          <t>USD</t>
        </is>
      </c>
      <c r="F183" s="2" t="inlineStr">
        <is>
          <t>0001114448-26-000004</t>
        </is>
      </c>
      <c r="G183" s="2" t="inlineStr">
        <is>
          <t>R2.htm</t>
        </is>
      </c>
      <c r="H183" s="2" t="inlineStr">
        <is>
          <t>Net sales from continuing operations</t>
        </is>
      </c>
      <c r="I183" s="2" t="inlineStr">
        <is>
          <t>Net sales; 'other revenues' are excluded</t>
        </is>
      </c>
    </row>
    <row r="184">
      <c r="A184" s="2" t="inlineStr">
        <is>
          <t>Novartis</t>
        </is>
      </c>
      <c r="B184" s="2" t="n">
        <v>2024</v>
      </c>
      <c r="C184" s="2" t="inlineStr">
        <is>
          <t>revenue</t>
        </is>
      </c>
      <c r="D184" s="2" t="n">
        <v>50317</v>
      </c>
      <c r="E184" s="2" t="inlineStr">
        <is>
          <t>USD</t>
        </is>
      </c>
      <c r="F184" s="2" t="inlineStr">
        <is>
          <t>0001114448-26-000004</t>
        </is>
      </c>
      <c r="G184" s="2" t="inlineStr">
        <is>
          <t>R2.htm</t>
        </is>
      </c>
      <c r="H184" s="2" t="inlineStr">
        <is>
          <t>Net sales from continuing operations</t>
        </is>
      </c>
      <c r="I184" s="2" t="inlineStr">
        <is>
          <t>Net sales; 'other revenues' are excluded</t>
        </is>
      </c>
    </row>
    <row r="185">
      <c r="A185" s="2" t="inlineStr">
        <is>
          <t>Novartis</t>
        </is>
      </c>
      <c r="B185" s="2" t="n">
        <v>2025</v>
      </c>
      <c r="C185" s="2" t="inlineStr">
        <is>
          <t>revenue</t>
        </is>
      </c>
      <c r="D185" s="2" t="n">
        <v>54532</v>
      </c>
      <c r="E185" s="2" t="inlineStr">
        <is>
          <t>USD</t>
        </is>
      </c>
      <c r="F185" s="2" t="inlineStr">
        <is>
          <t>0001114448-26-000004</t>
        </is>
      </c>
      <c r="G185" s="2" t="inlineStr">
        <is>
          <t>R2.htm</t>
        </is>
      </c>
      <c r="H185" s="2" t="inlineStr">
        <is>
          <t>Net sales from continuing operations</t>
        </is>
      </c>
      <c r="I185" s="2" t="inlineStr">
        <is>
          <t>Net sales; 'other revenues' are excluded</t>
        </is>
      </c>
    </row>
    <row r="186">
      <c r="A186" s="2" t="inlineStr">
        <is>
          <t>Novartis</t>
        </is>
      </c>
      <c r="B186" s="2" t="n">
        <v>2025</v>
      </c>
      <c r="C186" s="2" t="inlineStr">
        <is>
          <t>shares_outstanding_cover</t>
        </is>
      </c>
      <c r="D186" s="2" t="n">
        <v>1908.151679</v>
      </c>
      <c r="E186" s="2" t="inlineStr">
        <is>
          <t>USD</t>
        </is>
      </c>
      <c r="F186" s="2" t="inlineStr">
        <is>
          <t>0001114448-26-000004</t>
        </is>
      </c>
      <c r="G186" s="2" t="inlineStr">
        <is>
          <t>R1.htm</t>
        </is>
      </c>
      <c r="H186" s="2" t="inlineStr">
        <is>
          <t>Entity Common Stock, Shares Outstanding</t>
        </is>
      </c>
      <c r="I186" s="2" t="inlineStr">
        <is>
          <t>As stated on the cover page (cover date after fiscal year-end). Novo Nordisk: class A plus class B, includes treasury shares</t>
        </is>
      </c>
    </row>
    <row r="187">
      <c r="A187" s="2" t="inlineStr">
        <is>
          <t>Novartis</t>
        </is>
      </c>
      <c r="B187" s="2" t="n">
        <v>2023</v>
      </c>
      <c r="C187" s="2" t="inlineStr">
        <is>
          <t>short_term_investments</t>
        </is>
      </c>
      <c r="D187" s="2" t="n">
        <v>1035</v>
      </c>
      <c r="E187" s="2" t="inlineStr">
        <is>
          <t>USD</t>
        </is>
      </c>
      <c r="F187" s="2" t="inlineStr">
        <is>
          <t>0001370368-25-000004</t>
        </is>
      </c>
      <c r="G187" s="2" t="inlineStr">
        <is>
          <t>R4.htm</t>
        </is>
      </c>
      <c r="H187" s="2" t="inlineStr">
        <is>
          <t>Marketable securities, commodities, time deposits and derivative financial instruments</t>
        </is>
      </c>
      <c r="I187" s="2" t="inlineStr">
        <is>
          <t>Includes derivative financial instruments</t>
        </is>
      </c>
    </row>
    <row r="188">
      <c r="A188" s="2" t="inlineStr">
        <is>
          <t>Novartis</t>
        </is>
      </c>
      <c r="B188" s="2" t="n">
        <v>2024</v>
      </c>
      <c r="C188" s="2" t="inlineStr">
        <is>
          <t>short_term_investments</t>
        </is>
      </c>
      <c r="D188" s="2" t="n">
        <v>1998</v>
      </c>
      <c r="E188" s="2" t="inlineStr">
        <is>
          <t>USD</t>
        </is>
      </c>
      <c r="F188" s="2" t="inlineStr">
        <is>
          <t>0001114448-26-000004</t>
        </is>
      </c>
      <c r="G188" s="2" t="inlineStr">
        <is>
          <t>R4.htm</t>
        </is>
      </c>
      <c r="H188" s="2" t="inlineStr">
        <is>
          <t>Marketable securities, time deposits and derivative financial instruments</t>
        </is>
      </c>
      <c r="I188" s="2" t="inlineStr">
        <is>
          <t>Includes derivative financial instruments</t>
        </is>
      </c>
    </row>
    <row r="189">
      <c r="A189" s="2" t="inlineStr">
        <is>
          <t>Novartis</t>
        </is>
      </c>
      <c r="B189" s="2" t="n">
        <v>2025</v>
      </c>
      <c r="C189" s="2" t="inlineStr">
        <is>
          <t>short_term_investments</t>
        </is>
      </c>
      <c r="D189" s="2" t="n">
        <v>155</v>
      </c>
      <c r="E189" s="2" t="inlineStr">
        <is>
          <t>USD</t>
        </is>
      </c>
      <c r="F189" s="2" t="inlineStr">
        <is>
          <t>0001114448-26-000004</t>
        </is>
      </c>
      <c r="G189" s="2" t="inlineStr">
        <is>
          <t>R4.htm</t>
        </is>
      </c>
      <c r="H189" s="2" t="inlineStr">
        <is>
          <t>Marketable securities, time deposits and derivative financial instruments</t>
        </is>
      </c>
      <c r="I189" s="2" t="inlineStr">
        <is>
          <t>Includes derivative financial instruments</t>
        </is>
      </c>
    </row>
    <row r="190">
      <c r="A190" s="2" t="inlineStr">
        <is>
          <t>Novartis</t>
        </is>
      </c>
      <c r="B190" s="2" t="n">
        <v>2023</v>
      </c>
      <c r="C190" s="2" t="inlineStr">
        <is>
          <t>total_assets</t>
        </is>
      </c>
      <c r="D190" s="2" t="n">
        <v>99945</v>
      </c>
      <c r="E190" s="2" t="inlineStr">
        <is>
          <t>USD</t>
        </is>
      </c>
      <c r="F190" s="2" t="inlineStr">
        <is>
          <t>0001370368-25-000004</t>
        </is>
      </c>
      <c r="G190" s="2" t="inlineStr">
        <is>
          <t>R4.htm</t>
        </is>
      </c>
      <c r="H190" s="2" t="inlineStr">
        <is>
          <t>Total assets</t>
        </is>
      </c>
      <c r="I190" s="2" t="inlineStr"/>
    </row>
    <row r="191">
      <c r="A191" s="2" t="inlineStr">
        <is>
          <t>Novartis</t>
        </is>
      </c>
      <c r="B191" s="2" t="n">
        <v>2024</v>
      </c>
      <c r="C191" s="2" t="inlineStr">
        <is>
          <t>total_assets</t>
        </is>
      </c>
      <c r="D191" s="2" t="n">
        <v>102246</v>
      </c>
      <c r="E191" s="2" t="inlineStr">
        <is>
          <t>USD</t>
        </is>
      </c>
      <c r="F191" s="2" t="inlineStr">
        <is>
          <t>0001114448-26-000004</t>
        </is>
      </c>
      <c r="G191" s="2" t="inlineStr">
        <is>
          <t>R4.htm</t>
        </is>
      </c>
      <c r="H191" s="2" t="inlineStr">
        <is>
          <t>Total assets</t>
        </is>
      </c>
      <c r="I191" s="2" t="inlineStr"/>
    </row>
    <row r="192">
      <c r="A192" s="2" t="inlineStr">
        <is>
          <t>Novartis</t>
        </is>
      </c>
      <c r="B192" s="2" t="n">
        <v>2025</v>
      </c>
      <c r="C192" s="2" t="inlineStr">
        <is>
          <t>total_assets</t>
        </is>
      </c>
      <c r="D192" s="2" t="n">
        <v>110949</v>
      </c>
      <c r="E192" s="2" t="inlineStr">
        <is>
          <t>USD</t>
        </is>
      </c>
      <c r="F192" s="2" t="inlineStr">
        <is>
          <t>0001114448-26-000004</t>
        </is>
      </c>
      <c r="G192" s="2" t="inlineStr">
        <is>
          <t>R4.htm</t>
        </is>
      </c>
      <c r="H192" s="2" t="inlineStr">
        <is>
          <t>Total assets</t>
        </is>
      </c>
      <c r="I192" s="2" t="inlineStr"/>
    </row>
    <row r="193">
      <c r="A193" s="2" t="inlineStr">
        <is>
          <t>Novartis</t>
        </is>
      </c>
      <c r="B193" s="2" t="n">
        <v>2023</v>
      </c>
      <c r="C193" s="2" t="inlineStr">
        <is>
          <t>total_equity</t>
        </is>
      </c>
      <c r="D193" s="2" t="n">
        <v>46750</v>
      </c>
      <c r="E193" s="2" t="inlineStr">
        <is>
          <t>USD</t>
        </is>
      </c>
      <c r="F193" s="2" t="inlineStr">
        <is>
          <t>0001370368-25-000004</t>
        </is>
      </c>
      <c r="G193" s="2" t="inlineStr">
        <is>
          <t>R4.htm</t>
        </is>
      </c>
      <c r="H193" s="2" t="inlineStr">
        <is>
          <t>Total equity</t>
        </is>
      </c>
      <c r="I193" s="2" t="inlineStr"/>
    </row>
    <row r="194">
      <c r="A194" s="2" t="inlineStr">
        <is>
          <t>Novartis</t>
        </is>
      </c>
      <c r="B194" s="2" t="n">
        <v>2024</v>
      </c>
      <c r="C194" s="2" t="inlineStr">
        <is>
          <t>total_equity</t>
        </is>
      </c>
      <c r="D194" s="2" t="n">
        <v>44126</v>
      </c>
      <c r="E194" s="2" t="inlineStr">
        <is>
          <t>USD</t>
        </is>
      </c>
      <c r="F194" s="2" t="inlineStr">
        <is>
          <t>0001114448-26-000004</t>
        </is>
      </c>
      <c r="G194" s="2" t="inlineStr">
        <is>
          <t>R4.htm</t>
        </is>
      </c>
      <c r="H194" s="2" t="inlineStr">
        <is>
          <t>Total equity</t>
        </is>
      </c>
      <c r="I194" s="2" t="inlineStr"/>
    </row>
    <row r="195">
      <c r="A195" s="2" t="inlineStr">
        <is>
          <t>Novartis</t>
        </is>
      </c>
      <c r="B195" s="2" t="n">
        <v>2025</v>
      </c>
      <c r="C195" s="2" t="inlineStr">
        <is>
          <t>total_equity</t>
        </is>
      </c>
      <c r="D195" s="2" t="n">
        <v>46549</v>
      </c>
      <c r="E195" s="2" t="inlineStr">
        <is>
          <t>USD</t>
        </is>
      </c>
      <c r="F195" s="2" t="inlineStr">
        <is>
          <t>0001114448-26-000004</t>
        </is>
      </c>
      <c r="G195" s="2" t="inlineStr">
        <is>
          <t>R4.htm</t>
        </is>
      </c>
      <c r="H195" s="2" t="inlineStr">
        <is>
          <t>Total equity</t>
        </is>
      </c>
      <c r="I195" s="2" t="inlineStr"/>
    </row>
    <row r="196">
      <c r="A196" s="2" t="inlineStr">
        <is>
          <t>Novartis</t>
        </is>
      </c>
      <c r="B196" s="2" t="n">
        <v>2023</v>
      </c>
      <c r="C196" s="2" t="inlineStr">
        <is>
          <t>total_liabilities</t>
        </is>
      </c>
      <c r="D196" s="2" t="n">
        <v>53195</v>
      </c>
      <c r="E196" s="2" t="inlineStr">
        <is>
          <t>USD</t>
        </is>
      </c>
      <c r="F196" s="2" t="inlineStr">
        <is>
          <t>0001370368-25-000004</t>
        </is>
      </c>
      <c r="G196" s="2" t="inlineStr">
        <is>
          <t>R4.htm</t>
        </is>
      </c>
      <c r="H196" s="2" t="inlineStr">
        <is>
          <t>Total liabilities</t>
        </is>
      </c>
      <c r="I196" s="2" t="inlineStr"/>
    </row>
    <row r="197">
      <c r="A197" s="2" t="inlineStr">
        <is>
          <t>Novartis</t>
        </is>
      </c>
      <c r="B197" s="2" t="n">
        <v>2024</v>
      </c>
      <c r="C197" s="2" t="inlineStr">
        <is>
          <t>total_liabilities</t>
        </is>
      </c>
      <c r="D197" s="2" t="n">
        <v>58120</v>
      </c>
      <c r="E197" s="2" t="inlineStr">
        <is>
          <t>USD</t>
        </is>
      </c>
      <c r="F197" s="2" t="inlineStr">
        <is>
          <t>0001114448-26-000004</t>
        </is>
      </c>
      <c r="G197" s="2" t="inlineStr">
        <is>
          <t>R4.htm</t>
        </is>
      </c>
      <c r="H197" s="2" t="inlineStr">
        <is>
          <t>Total liabilities</t>
        </is>
      </c>
      <c r="I197" s="2" t="inlineStr"/>
    </row>
    <row r="198">
      <c r="A198" s="2" t="inlineStr">
        <is>
          <t>Novartis</t>
        </is>
      </c>
      <c r="B198" s="2" t="n">
        <v>2025</v>
      </c>
      <c r="C198" s="2" t="inlineStr">
        <is>
          <t>total_liabilities</t>
        </is>
      </c>
      <c r="D198" s="2" t="n">
        <v>64400</v>
      </c>
      <c r="E198" s="2" t="inlineStr">
        <is>
          <t>USD</t>
        </is>
      </c>
      <c r="F198" s="2" t="inlineStr">
        <is>
          <t>0001114448-26-000004</t>
        </is>
      </c>
      <c r="G198" s="2" t="inlineStr">
        <is>
          <t>R4.htm</t>
        </is>
      </c>
      <c r="H198" s="2" t="inlineStr">
        <is>
          <t>Total liabilities</t>
        </is>
      </c>
      <c r="I198" s="2" t="inlineStr"/>
    </row>
    <row r="199">
      <c r="A199" s="2" t="inlineStr">
        <is>
          <t>Novo Nordisk</t>
        </is>
      </c>
      <c r="B199" s="2" t="n">
        <v>2023</v>
      </c>
      <c r="C199" s="2" t="inlineStr">
        <is>
          <t>buybacks</t>
        </is>
      </c>
      <c r="D199" s="2" t="n">
        <v>29924</v>
      </c>
      <c r="E199" s="2" t="inlineStr">
        <is>
          <t>DKK</t>
        </is>
      </c>
      <c r="F199" s="2" t="inlineStr">
        <is>
          <t>0000353278-26-000012</t>
        </is>
      </c>
      <c r="G199" s="2" t="inlineStr">
        <is>
          <t>R5.htm</t>
        </is>
      </c>
      <c r="H199" s="2" t="inlineStr">
        <is>
          <t>Purchase of treasury shares</t>
        </is>
      </c>
      <c r="I199" s="2" t="inlineStr"/>
    </row>
    <row r="200">
      <c r="A200" s="2" t="inlineStr">
        <is>
          <t>Novo Nordisk</t>
        </is>
      </c>
      <c r="B200" s="2" t="n">
        <v>2024</v>
      </c>
      <c r="C200" s="2" t="inlineStr">
        <is>
          <t>buybacks</t>
        </is>
      </c>
      <c r="D200" s="2" t="n">
        <v>20181</v>
      </c>
      <c r="E200" s="2" t="inlineStr">
        <is>
          <t>DKK</t>
        </is>
      </c>
      <c r="F200" s="2" t="inlineStr">
        <is>
          <t>0000353278-26-000012</t>
        </is>
      </c>
      <c r="G200" s="2" t="inlineStr">
        <is>
          <t>R5.htm</t>
        </is>
      </c>
      <c r="H200" s="2" t="inlineStr">
        <is>
          <t>Purchase of treasury shares</t>
        </is>
      </c>
      <c r="I200" s="2" t="inlineStr"/>
    </row>
    <row r="201">
      <c r="A201" s="2" t="inlineStr">
        <is>
          <t>Novo Nordisk</t>
        </is>
      </c>
      <c r="B201" s="2" t="n">
        <v>2025</v>
      </c>
      <c r="C201" s="2" t="inlineStr">
        <is>
          <t>buybacks</t>
        </is>
      </c>
      <c r="D201" s="2" t="n">
        <v>1388</v>
      </c>
      <c r="E201" s="2" t="inlineStr">
        <is>
          <t>DKK</t>
        </is>
      </c>
      <c r="F201" s="2" t="inlineStr">
        <is>
          <t>0000353278-26-000012</t>
        </is>
      </c>
      <c r="G201" s="2" t="inlineStr">
        <is>
          <t>R5.htm</t>
        </is>
      </c>
      <c r="H201" s="2" t="inlineStr">
        <is>
          <t>Purchase of treasury shares</t>
        </is>
      </c>
      <c r="I201" s="2" t="inlineStr"/>
    </row>
    <row r="202">
      <c r="A202" s="2" t="inlineStr">
        <is>
          <t>Novo Nordisk</t>
        </is>
      </c>
      <c r="B202" s="2" t="n">
        <v>2023</v>
      </c>
      <c r="C202" s="2" t="inlineStr">
        <is>
          <t>capex_intangibles</t>
        </is>
      </c>
      <c r="D202" s="2" t="n">
        <v>13090</v>
      </c>
      <c r="E202" s="2" t="inlineStr">
        <is>
          <t>DKK</t>
        </is>
      </c>
      <c r="F202" s="2" t="inlineStr">
        <is>
          <t>0000353278-26-000012</t>
        </is>
      </c>
      <c r="G202" s="2" t="inlineStr">
        <is>
          <t>R5.htm</t>
        </is>
      </c>
      <c r="H202" s="2" t="inlineStr">
        <is>
          <t>Purchase of intangible assets</t>
        </is>
      </c>
      <c r="I202" s="2" t="inlineStr"/>
    </row>
    <row r="203">
      <c r="A203" s="2" t="inlineStr">
        <is>
          <t>Novo Nordisk</t>
        </is>
      </c>
      <c r="B203" s="2" t="n">
        <v>2024</v>
      </c>
      <c r="C203" s="2" t="inlineStr">
        <is>
          <t>capex_intangibles</t>
        </is>
      </c>
      <c r="D203" s="2" t="n">
        <v>4145</v>
      </c>
      <c r="E203" s="2" t="inlineStr">
        <is>
          <t>DKK</t>
        </is>
      </c>
      <c r="F203" s="2" t="inlineStr">
        <is>
          <t>0000353278-26-000012</t>
        </is>
      </c>
      <c r="G203" s="2" t="inlineStr">
        <is>
          <t>R5.htm</t>
        </is>
      </c>
      <c r="H203" s="2" t="inlineStr">
        <is>
          <t>Purchase of intangible assets</t>
        </is>
      </c>
      <c r="I203" s="2" t="inlineStr"/>
    </row>
    <row r="204">
      <c r="A204" s="2" t="inlineStr">
        <is>
          <t>Novo Nordisk</t>
        </is>
      </c>
      <c r="B204" s="2" t="n">
        <v>2025</v>
      </c>
      <c r="C204" s="2" t="inlineStr">
        <is>
          <t>capex_intangibles</t>
        </is>
      </c>
      <c r="D204" s="2" t="n">
        <v>29973</v>
      </c>
      <c r="E204" s="2" t="inlineStr">
        <is>
          <t>DKK</t>
        </is>
      </c>
      <c r="F204" s="2" t="inlineStr">
        <is>
          <t>0000353278-26-000012</t>
        </is>
      </c>
      <c r="G204" s="2" t="inlineStr">
        <is>
          <t>R5.htm</t>
        </is>
      </c>
      <c r="H204" s="2" t="inlineStr">
        <is>
          <t>Purchase of intangible assets</t>
        </is>
      </c>
      <c r="I204" s="2" t="inlineStr"/>
    </row>
    <row r="205">
      <c r="A205" s="2" t="inlineStr">
        <is>
          <t>Novo Nordisk</t>
        </is>
      </c>
      <c r="B205" s="2" t="n">
        <v>2023</v>
      </c>
      <c r="C205" s="2" t="inlineStr">
        <is>
          <t>capex_ppe</t>
        </is>
      </c>
      <c r="D205" s="2" t="n">
        <v>25806</v>
      </c>
      <c r="E205" s="2" t="inlineStr">
        <is>
          <t>DKK</t>
        </is>
      </c>
      <c r="F205" s="2" t="inlineStr">
        <is>
          <t>0000353278-26-000012</t>
        </is>
      </c>
      <c r="G205" s="2" t="inlineStr">
        <is>
          <t>R5.htm</t>
        </is>
      </c>
      <c r="H205" s="2" t="inlineStr">
        <is>
          <t>Purchase of property, plant and equipment</t>
        </is>
      </c>
      <c r="I205" s="2" t="inlineStr"/>
    </row>
    <row r="206">
      <c r="A206" s="2" t="inlineStr">
        <is>
          <t>Novo Nordisk</t>
        </is>
      </c>
      <c r="B206" s="2" t="n">
        <v>2024</v>
      </c>
      <c r="C206" s="2" t="inlineStr">
        <is>
          <t>capex_ppe</t>
        </is>
      </c>
      <c r="D206" s="2" t="n">
        <v>47164</v>
      </c>
      <c r="E206" s="2" t="inlineStr">
        <is>
          <t>DKK</t>
        </is>
      </c>
      <c r="F206" s="2" t="inlineStr">
        <is>
          <t>0000353278-26-000012</t>
        </is>
      </c>
      <c r="G206" s="2" t="inlineStr">
        <is>
          <t>R5.htm</t>
        </is>
      </c>
      <c r="H206" s="2" t="inlineStr">
        <is>
          <t>Purchase of property, plant and equipment</t>
        </is>
      </c>
      <c r="I206" s="2" t="inlineStr"/>
    </row>
    <row r="207">
      <c r="A207" s="2" t="inlineStr">
        <is>
          <t>Novo Nordisk</t>
        </is>
      </c>
      <c r="B207" s="2" t="n">
        <v>2025</v>
      </c>
      <c r="C207" s="2" t="inlineStr">
        <is>
          <t>capex_ppe</t>
        </is>
      </c>
      <c r="D207" s="2" t="n">
        <v>60140</v>
      </c>
      <c r="E207" s="2" t="inlineStr">
        <is>
          <t>DKK</t>
        </is>
      </c>
      <c r="F207" s="2" t="inlineStr">
        <is>
          <t>0000353278-26-000012</t>
        </is>
      </c>
      <c r="G207" s="2" t="inlineStr">
        <is>
          <t>R5.htm</t>
        </is>
      </c>
      <c r="H207" s="2" t="inlineStr">
        <is>
          <t>Purchase of property, plant and equipment</t>
        </is>
      </c>
      <c r="I207" s="2" t="inlineStr"/>
    </row>
    <row r="208">
      <c r="A208" s="2" t="inlineStr">
        <is>
          <t>Novo Nordisk</t>
        </is>
      </c>
      <c r="B208" s="2" t="n">
        <v>2023</v>
      </c>
      <c r="C208" s="2" t="inlineStr">
        <is>
          <t>cash</t>
        </is>
      </c>
      <c r="D208" s="2" t="n">
        <v>14392</v>
      </c>
      <c r="E208" s="2" t="inlineStr">
        <is>
          <t>DKK</t>
        </is>
      </c>
      <c r="F208" s="2" t="inlineStr">
        <is>
          <t>0001628280-25-003920</t>
        </is>
      </c>
      <c r="G208" s="2" t="inlineStr">
        <is>
          <t>R6.htm</t>
        </is>
      </c>
      <c r="H208" s="2" t="inlineStr">
        <is>
          <t>Cash at bank</t>
        </is>
      </c>
      <c r="I208" s="2" t="inlineStr"/>
    </row>
    <row r="209">
      <c r="A209" s="2" t="inlineStr">
        <is>
          <t>Novo Nordisk</t>
        </is>
      </c>
      <c r="B209" s="2" t="n">
        <v>2024</v>
      </c>
      <c r="C209" s="2" t="inlineStr">
        <is>
          <t>cash</t>
        </is>
      </c>
      <c r="D209" s="2" t="n">
        <v>15655</v>
      </c>
      <c r="E209" s="2" t="inlineStr">
        <is>
          <t>DKK</t>
        </is>
      </c>
      <c r="F209" s="2" t="inlineStr">
        <is>
          <t>0000353278-26-000012</t>
        </is>
      </c>
      <c r="G209" s="2" t="inlineStr">
        <is>
          <t>R6.htm</t>
        </is>
      </c>
      <c r="H209" s="2" t="inlineStr">
        <is>
          <t>Cash at bank</t>
        </is>
      </c>
      <c r="I209" s="2" t="inlineStr"/>
    </row>
    <row r="210">
      <c r="A210" s="2" t="inlineStr">
        <is>
          <t>Novo Nordisk</t>
        </is>
      </c>
      <c r="B210" s="2" t="n">
        <v>2025</v>
      </c>
      <c r="C210" s="2" t="inlineStr">
        <is>
          <t>cash</t>
        </is>
      </c>
      <c r="D210" s="2" t="n">
        <v>26464</v>
      </c>
      <c r="E210" s="2" t="inlineStr">
        <is>
          <t>DKK</t>
        </is>
      </c>
      <c r="F210" s="2" t="inlineStr">
        <is>
          <t>0000353278-26-000012</t>
        </is>
      </c>
      <c r="G210" s="2" t="inlineStr">
        <is>
          <t>R6.htm</t>
        </is>
      </c>
      <c r="H210" s="2" t="inlineStr">
        <is>
          <t>Cash at bank</t>
        </is>
      </c>
      <c r="I210" s="2" t="inlineStr"/>
    </row>
    <row r="211">
      <c r="A211" s="2" t="inlineStr">
        <is>
          <t>Novo Nordisk</t>
        </is>
      </c>
      <c r="B211" s="2" t="n">
        <v>2023</v>
      </c>
      <c r="C211" s="2" t="inlineStr">
        <is>
          <t>cfo</t>
        </is>
      </c>
      <c r="D211" s="2" t="n">
        <v>108908</v>
      </c>
      <c r="E211" s="2" t="inlineStr">
        <is>
          <t>DKK</t>
        </is>
      </c>
      <c r="F211" s="2" t="inlineStr">
        <is>
          <t>0000353278-26-000012</t>
        </is>
      </c>
      <c r="G211" s="2" t="inlineStr">
        <is>
          <t>R5.htm</t>
        </is>
      </c>
      <c r="H211" s="2" t="inlineStr">
        <is>
          <t>Net cash flows from operating activities</t>
        </is>
      </c>
      <c r="I211" s="2" t="inlineStr"/>
    </row>
    <row r="212">
      <c r="A212" s="2" t="inlineStr">
        <is>
          <t>Novo Nordisk</t>
        </is>
      </c>
      <c r="B212" s="2" t="n">
        <v>2024</v>
      </c>
      <c r="C212" s="2" t="inlineStr">
        <is>
          <t>cfo</t>
        </is>
      </c>
      <c r="D212" s="2" t="n">
        <v>120968</v>
      </c>
      <c r="E212" s="2" t="inlineStr">
        <is>
          <t>DKK</t>
        </is>
      </c>
      <c r="F212" s="2" t="inlineStr">
        <is>
          <t>0000353278-26-000012</t>
        </is>
      </c>
      <c r="G212" s="2" t="inlineStr">
        <is>
          <t>R5.htm</t>
        </is>
      </c>
      <c r="H212" s="2" t="inlineStr">
        <is>
          <t>Net cash flows from operating activities</t>
        </is>
      </c>
      <c r="I212" s="2" t="inlineStr"/>
    </row>
    <row r="213">
      <c r="A213" s="2" t="inlineStr">
        <is>
          <t>Novo Nordisk</t>
        </is>
      </c>
      <c r="B213" s="2" t="n">
        <v>2025</v>
      </c>
      <c r="C213" s="2" t="inlineStr">
        <is>
          <t>cfo</t>
        </is>
      </c>
      <c r="D213" s="2" t="n">
        <v>119102</v>
      </c>
      <c r="E213" s="2" t="inlineStr">
        <is>
          <t>DKK</t>
        </is>
      </c>
      <c r="F213" s="2" t="inlineStr">
        <is>
          <t>0000353278-26-000012</t>
        </is>
      </c>
      <c r="G213" s="2" t="inlineStr">
        <is>
          <t>R5.htm</t>
        </is>
      </c>
      <c r="H213" s="2" t="inlineStr">
        <is>
          <t>Net cash flows from operating activities</t>
        </is>
      </c>
      <c r="I213" s="2" t="inlineStr"/>
    </row>
    <row r="214">
      <c r="A214" s="2" t="inlineStr">
        <is>
          <t>Novo Nordisk</t>
        </is>
      </c>
      <c r="B214" s="2" t="n">
        <v>2023</v>
      </c>
      <c r="C214" s="2" t="inlineStr">
        <is>
          <t>debt_current</t>
        </is>
      </c>
      <c r="D214" s="2" t="n">
        <v>6478</v>
      </c>
      <c r="E214" s="2" t="inlineStr">
        <is>
          <t>DKK</t>
        </is>
      </c>
      <c r="F214" s="2" t="inlineStr">
        <is>
          <t>0001628280-25-003920</t>
        </is>
      </c>
      <c r="G214" s="2" t="inlineStr">
        <is>
          <t>R6.htm</t>
        </is>
      </c>
      <c r="H214" s="2" t="inlineStr">
        <is>
          <t>Borrowings</t>
        </is>
      </c>
      <c r="I214" s="2" t="inlineStr">
        <is>
          <t>Borrowings include lease liabilities</t>
        </is>
      </c>
    </row>
    <row r="215">
      <c r="A215" s="2" t="inlineStr">
        <is>
          <t>Novo Nordisk</t>
        </is>
      </c>
      <c r="B215" s="2" t="n">
        <v>2024</v>
      </c>
      <c r="C215" s="2" t="inlineStr">
        <is>
          <t>debt_current</t>
        </is>
      </c>
      <c r="D215" s="2" t="n">
        <v>13113</v>
      </c>
      <c r="E215" s="2" t="inlineStr">
        <is>
          <t>DKK</t>
        </is>
      </c>
      <c r="F215" s="2" t="inlineStr">
        <is>
          <t>0000353278-26-000012</t>
        </is>
      </c>
      <c r="G215" s="2" t="inlineStr">
        <is>
          <t>R6.htm</t>
        </is>
      </c>
      <c r="H215" s="2" t="inlineStr">
        <is>
          <t>Borrowings</t>
        </is>
      </c>
      <c r="I215" s="2" t="inlineStr">
        <is>
          <t>Borrowings include lease liabilities</t>
        </is>
      </c>
    </row>
    <row r="216">
      <c r="A216" s="2" t="inlineStr">
        <is>
          <t>Novo Nordisk</t>
        </is>
      </c>
      <c r="B216" s="2" t="n">
        <v>2025</v>
      </c>
      <c r="C216" s="2" t="inlineStr">
        <is>
          <t>debt_current</t>
        </is>
      </c>
      <c r="D216" s="2" t="n">
        <v>12017</v>
      </c>
      <c r="E216" s="2" t="inlineStr">
        <is>
          <t>DKK</t>
        </is>
      </c>
      <c r="F216" s="2" t="inlineStr">
        <is>
          <t>0000353278-26-000012</t>
        </is>
      </c>
      <c r="G216" s="2" t="inlineStr">
        <is>
          <t>R6.htm</t>
        </is>
      </c>
      <c r="H216" s="2" t="inlineStr">
        <is>
          <t>Borrowings</t>
        </is>
      </c>
      <c r="I216" s="2" t="inlineStr">
        <is>
          <t>Borrowings include lease liabilities</t>
        </is>
      </c>
    </row>
    <row r="217">
      <c r="A217" s="2" t="inlineStr">
        <is>
          <t>Novo Nordisk</t>
        </is>
      </c>
      <c r="B217" s="2" t="n">
        <v>2023</v>
      </c>
      <c r="C217" s="2" t="inlineStr">
        <is>
          <t>debt_noncurrent</t>
        </is>
      </c>
      <c r="D217" s="2" t="n">
        <v>20528</v>
      </c>
      <c r="E217" s="2" t="inlineStr">
        <is>
          <t>DKK</t>
        </is>
      </c>
      <c r="F217" s="2" t="inlineStr">
        <is>
          <t>0001628280-25-003920</t>
        </is>
      </c>
      <c r="G217" s="2" t="inlineStr">
        <is>
          <t>R6.htm</t>
        </is>
      </c>
      <c r="H217" s="2" t="inlineStr">
        <is>
          <t>Borrowings</t>
        </is>
      </c>
      <c r="I217" s="2" t="inlineStr">
        <is>
          <t>Borrowings include lease liabilities</t>
        </is>
      </c>
    </row>
    <row r="218">
      <c r="A218" s="2" t="inlineStr">
        <is>
          <t>Novo Nordisk</t>
        </is>
      </c>
      <c r="B218" s="2" t="n">
        <v>2024</v>
      </c>
      <c r="C218" s="2" t="inlineStr">
        <is>
          <t>debt_noncurrent</t>
        </is>
      </c>
      <c r="D218" s="2" t="n">
        <v>89674</v>
      </c>
      <c r="E218" s="2" t="inlineStr">
        <is>
          <t>DKK</t>
        </is>
      </c>
      <c r="F218" s="2" t="inlineStr">
        <is>
          <t>0000353278-26-000012</t>
        </is>
      </c>
      <c r="G218" s="2" t="inlineStr">
        <is>
          <t>R6.htm</t>
        </is>
      </c>
      <c r="H218" s="2" t="inlineStr">
        <is>
          <t>Borrowings</t>
        </is>
      </c>
      <c r="I218" s="2" t="inlineStr">
        <is>
          <t>Borrowings include lease liabilities</t>
        </is>
      </c>
    </row>
    <row r="219">
      <c r="A219" s="2" t="inlineStr">
        <is>
          <t>Novo Nordisk</t>
        </is>
      </c>
      <c r="B219" s="2" t="n">
        <v>2025</v>
      </c>
      <c r="C219" s="2" t="inlineStr">
        <is>
          <t>debt_noncurrent</t>
        </is>
      </c>
      <c r="D219" s="2" t="n">
        <v>118941</v>
      </c>
      <c r="E219" s="2" t="inlineStr">
        <is>
          <t>DKK</t>
        </is>
      </c>
      <c r="F219" s="2" t="inlineStr">
        <is>
          <t>0000353278-26-000012</t>
        </is>
      </c>
      <c r="G219" s="2" t="inlineStr">
        <is>
          <t>R6.htm</t>
        </is>
      </c>
      <c r="H219" s="2" t="inlineStr">
        <is>
          <t>Borrowings</t>
        </is>
      </c>
      <c r="I219" s="2" t="inlineStr">
        <is>
          <t>Borrowings include lease liabilities</t>
        </is>
      </c>
    </row>
    <row r="220">
      <c r="A220" s="2" t="inlineStr">
        <is>
          <t>Novo Nordisk</t>
        </is>
      </c>
      <c r="B220" s="2" t="n">
        <v>2023</v>
      </c>
      <c r="C220" s="2" t="inlineStr">
        <is>
          <t>dividends_paid</t>
        </is>
      </c>
      <c r="D220" s="2" t="n">
        <v>31767</v>
      </c>
      <c r="E220" s="2" t="inlineStr">
        <is>
          <t>DKK</t>
        </is>
      </c>
      <c r="F220" s="2" t="inlineStr">
        <is>
          <t>0000353278-26-000012</t>
        </is>
      </c>
      <c r="G220" s="2" t="inlineStr">
        <is>
          <t>R5.htm</t>
        </is>
      </c>
      <c r="H220" s="2" t="inlineStr">
        <is>
          <t>Dividends paid</t>
        </is>
      </c>
      <c r="I220" s="2" t="inlineStr"/>
    </row>
    <row r="221">
      <c r="A221" s="2" t="inlineStr">
        <is>
          <t>Novo Nordisk</t>
        </is>
      </c>
      <c r="B221" s="2" t="n">
        <v>2024</v>
      </c>
      <c r="C221" s="2" t="inlineStr">
        <is>
          <t>dividends_paid</t>
        </is>
      </c>
      <c r="D221" s="2" t="n">
        <v>44140</v>
      </c>
      <c r="E221" s="2" t="inlineStr">
        <is>
          <t>DKK</t>
        </is>
      </c>
      <c r="F221" s="2" t="inlineStr">
        <is>
          <t>0000353278-26-000012</t>
        </is>
      </c>
      <c r="G221" s="2" t="inlineStr">
        <is>
          <t>R5.htm</t>
        </is>
      </c>
      <c r="H221" s="2" t="inlineStr">
        <is>
          <t>Dividends paid</t>
        </is>
      </c>
      <c r="I221" s="2" t="inlineStr"/>
    </row>
    <row r="222">
      <c r="A222" s="2" t="inlineStr">
        <is>
          <t>Novo Nordisk</t>
        </is>
      </c>
      <c r="B222" s="2" t="n">
        <v>2025</v>
      </c>
      <c r="C222" s="2" t="inlineStr">
        <is>
          <t>dividends_paid</t>
        </is>
      </c>
      <c r="D222" s="2" t="n">
        <v>51763</v>
      </c>
      <c r="E222" s="2" t="inlineStr">
        <is>
          <t>DKK</t>
        </is>
      </c>
      <c r="F222" s="2" t="inlineStr">
        <is>
          <t>0000353278-26-000012</t>
        </is>
      </c>
      <c r="G222" s="2" t="inlineStr">
        <is>
          <t>R5.htm</t>
        </is>
      </c>
      <c r="H222" s="2" t="inlineStr">
        <is>
          <t>Dividends paid</t>
        </is>
      </c>
      <c r="I222" s="2" t="inlineStr"/>
    </row>
    <row r="223">
      <c r="A223" s="2" t="inlineStr">
        <is>
          <t>Novo Nordisk</t>
        </is>
      </c>
      <c r="B223" s="2" t="n">
        <v>2023</v>
      </c>
      <c r="C223" s="2" t="inlineStr">
        <is>
          <t>equity_method_investments</t>
        </is>
      </c>
      <c r="D223" s="2" t="n">
        <v>410</v>
      </c>
      <c r="E223" s="2" t="inlineStr">
        <is>
          <t>DKK</t>
        </is>
      </c>
      <c r="F223" s="2" t="inlineStr">
        <is>
          <t>0001628280-25-003920</t>
        </is>
      </c>
      <c r="G223" s="2" t="inlineStr">
        <is>
          <t>R6.htm</t>
        </is>
      </c>
      <c r="H223" s="2" t="inlineStr">
        <is>
          <t>Investments in associated companies</t>
        </is>
      </c>
      <c r="I223" s="2" t="inlineStr"/>
    </row>
    <row r="224">
      <c r="A224" s="2" t="inlineStr">
        <is>
          <t>Novo Nordisk</t>
        </is>
      </c>
      <c r="B224" s="2" t="n">
        <v>2024</v>
      </c>
      <c r="C224" s="2" t="inlineStr">
        <is>
          <t>equity_method_investments</t>
        </is>
      </c>
      <c r="D224" s="2" t="n">
        <v>400</v>
      </c>
      <c r="E224" s="2" t="inlineStr">
        <is>
          <t>DKK</t>
        </is>
      </c>
      <c r="F224" s="2" t="inlineStr">
        <is>
          <t>0000353278-26-000012</t>
        </is>
      </c>
      <c r="G224" s="2" t="inlineStr">
        <is>
          <t>R6.htm</t>
        </is>
      </c>
      <c r="H224" s="2" t="inlineStr">
        <is>
          <t>Investments in associated companies</t>
        </is>
      </c>
      <c r="I224" s="2" t="inlineStr"/>
    </row>
    <row r="225">
      <c r="A225" s="2" t="inlineStr">
        <is>
          <t>Novo Nordisk</t>
        </is>
      </c>
      <c r="B225" s="2" t="n">
        <v>2025</v>
      </c>
      <c r="C225" s="2" t="inlineStr">
        <is>
          <t>equity_method_investments</t>
        </is>
      </c>
      <c r="D225" s="2" t="n">
        <v>366</v>
      </c>
      <c r="E225" s="2" t="inlineStr">
        <is>
          <t>DKK</t>
        </is>
      </c>
      <c r="F225" s="2" t="inlineStr">
        <is>
          <t>0000353278-26-000012</t>
        </is>
      </c>
      <c r="G225" s="2" t="inlineStr">
        <is>
          <t>R6.htm</t>
        </is>
      </c>
      <c r="H225" s="2" t="inlineStr">
        <is>
          <t>Investments in associated companies</t>
        </is>
      </c>
      <c r="I225" s="2" t="inlineStr"/>
    </row>
    <row r="226">
      <c r="A226" s="2" t="inlineStr">
        <is>
          <t>Novo Nordisk</t>
        </is>
      </c>
      <c r="B226" s="2" t="n">
        <v>2023</v>
      </c>
      <c r="C226" s="2" t="inlineStr">
        <is>
          <t>income_tax</t>
        </is>
      </c>
      <c r="D226" s="2" t="n">
        <v>20991</v>
      </c>
      <c r="E226" s="2" t="inlineStr">
        <is>
          <t>DKK</t>
        </is>
      </c>
      <c r="F226" s="2" t="inlineStr">
        <is>
          <t>0000353278-26-000012</t>
        </is>
      </c>
      <c r="G226" s="2" t="inlineStr">
        <is>
          <t>R3.htm</t>
        </is>
      </c>
      <c r="H226" s="2" t="inlineStr">
        <is>
          <t>Income taxes</t>
        </is>
      </c>
      <c r="I226" s="2" t="inlineStr"/>
    </row>
    <row r="227">
      <c r="A227" s="2" t="inlineStr">
        <is>
          <t>Novo Nordisk</t>
        </is>
      </c>
      <c r="B227" s="2" t="n">
        <v>2024</v>
      </c>
      <c r="C227" s="2" t="inlineStr">
        <is>
          <t>income_tax</t>
        </is>
      </c>
      <c r="D227" s="2" t="n">
        <v>26203</v>
      </c>
      <c r="E227" s="2" t="inlineStr">
        <is>
          <t>DKK</t>
        </is>
      </c>
      <c r="F227" s="2" t="inlineStr">
        <is>
          <t>0000353278-26-000012</t>
        </is>
      </c>
      <c r="G227" s="2" t="inlineStr">
        <is>
          <t>R3.htm</t>
        </is>
      </c>
      <c r="H227" s="2" t="inlineStr">
        <is>
          <t>Income taxes</t>
        </is>
      </c>
      <c r="I227" s="2" t="inlineStr"/>
    </row>
    <row r="228">
      <c r="A228" s="2" t="inlineStr">
        <is>
          <t>Novo Nordisk</t>
        </is>
      </c>
      <c r="B228" s="2" t="n">
        <v>2025</v>
      </c>
      <c r="C228" s="2" t="inlineStr">
        <is>
          <t>income_tax</t>
        </is>
      </c>
      <c r="D228" s="2" t="n">
        <v>28106</v>
      </c>
      <c r="E228" s="2" t="inlineStr">
        <is>
          <t>DKK</t>
        </is>
      </c>
      <c r="F228" s="2" t="inlineStr">
        <is>
          <t>0000353278-26-000012</t>
        </is>
      </c>
      <c r="G228" s="2" t="inlineStr">
        <is>
          <t>R3.htm</t>
        </is>
      </c>
      <c r="H228" s="2" t="inlineStr">
        <is>
          <t>Income taxes</t>
        </is>
      </c>
      <c r="I228" s="2" t="inlineStr"/>
    </row>
    <row r="229">
      <c r="A229" s="2" t="inlineStr">
        <is>
          <t>Novo Nordisk</t>
        </is>
      </c>
      <c r="B229" s="2" t="n">
        <v>2023</v>
      </c>
      <c r="C229" s="2" t="inlineStr">
        <is>
          <t>interest_paid_in_cfo</t>
        </is>
      </c>
      <c r="D229" s="2" t="n">
        <v>491</v>
      </c>
      <c r="E229" s="2" t="inlineStr">
        <is>
          <t>DKK</t>
        </is>
      </c>
      <c r="F229" s="2" t="inlineStr">
        <is>
          <t>0000353278-26-000012</t>
        </is>
      </c>
      <c r="G229" s="2" t="inlineStr">
        <is>
          <t>R5.htm</t>
        </is>
      </c>
      <c r="H229" s="2" t="inlineStr">
        <is>
          <t>Interest paid</t>
        </is>
      </c>
      <c r="I229" s="2" t="inlineStr">
        <is>
          <t>Interest paid is inside operating cash flow</t>
        </is>
      </c>
    </row>
    <row r="230">
      <c r="A230" s="2" t="inlineStr">
        <is>
          <t>Novo Nordisk</t>
        </is>
      </c>
      <c r="B230" s="2" t="n">
        <v>2024</v>
      </c>
      <c r="C230" s="2" t="inlineStr">
        <is>
          <t>interest_paid_in_cfo</t>
        </is>
      </c>
      <c r="D230" s="2" t="n">
        <v>612</v>
      </c>
      <c r="E230" s="2" t="inlineStr">
        <is>
          <t>DKK</t>
        </is>
      </c>
      <c r="F230" s="2" t="inlineStr">
        <is>
          <t>0000353278-26-000012</t>
        </is>
      </c>
      <c r="G230" s="2" t="inlineStr">
        <is>
          <t>R5.htm</t>
        </is>
      </c>
      <c r="H230" s="2" t="inlineStr">
        <is>
          <t>Interest paid</t>
        </is>
      </c>
      <c r="I230" s="2" t="inlineStr">
        <is>
          <t>Interest paid is inside operating cash flow</t>
        </is>
      </c>
    </row>
    <row r="231">
      <c r="A231" s="2" t="inlineStr">
        <is>
          <t>Novo Nordisk</t>
        </is>
      </c>
      <c r="B231" s="2" t="n">
        <v>2025</v>
      </c>
      <c r="C231" s="2" t="inlineStr">
        <is>
          <t>interest_paid_in_cfo</t>
        </is>
      </c>
      <c r="D231" s="2" t="n">
        <v>3419</v>
      </c>
      <c r="E231" s="2" t="inlineStr">
        <is>
          <t>DKK</t>
        </is>
      </c>
      <c r="F231" s="2" t="inlineStr">
        <is>
          <t>0000353278-26-000012</t>
        </is>
      </c>
      <c r="G231" s="2" t="inlineStr">
        <is>
          <t>R5.htm</t>
        </is>
      </c>
      <c r="H231" s="2" t="inlineStr">
        <is>
          <t>Interest paid</t>
        </is>
      </c>
      <c r="I231" s="2" t="inlineStr">
        <is>
          <t>Interest paid is inside operating cash flow</t>
        </is>
      </c>
    </row>
    <row r="232">
      <c r="A232" s="2" t="inlineStr">
        <is>
          <t>Novo Nordisk</t>
        </is>
      </c>
      <c r="B232" s="2" t="n">
        <v>2023</v>
      </c>
      <c r="C232" s="2" t="inlineStr">
        <is>
          <t>interest_received_in_cfo</t>
        </is>
      </c>
      <c r="D232" s="2" t="n">
        <v>1072</v>
      </c>
      <c r="E232" s="2" t="inlineStr">
        <is>
          <t>DKK</t>
        </is>
      </c>
      <c r="F232" s="2" t="inlineStr">
        <is>
          <t>0000353278-26-000012</t>
        </is>
      </c>
      <c r="G232" s="2" t="inlineStr">
        <is>
          <t>R5.htm</t>
        </is>
      </c>
      <c r="H232" s="2" t="inlineStr">
        <is>
          <t>Interest received</t>
        </is>
      </c>
      <c r="I232" s="2" t="inlineStr">
        <is>
          <t>Interest received is inside operating cash flow</t>
        </is>
      </c>
    </row>
    <row r="233">
      <c r="A233" s="2" t="inlineStr">
        <is>
          <t>Novo Nordisk</t>
        </is>
      </c>
      <c r="B233" s="2" t="n">
        <v>2024</v>
      </c>
      <c r="C233" s="2" t="inlineStr">
        <is>
          <t>interest_received_in_cfo</t>
        </is>
      </c>
      <c r="D233" s="2" t="n">
        <v>1884</v>
      </c>
      <c r="E233" s="2" t="inlineStr">
        <is>
          <t>DKK</t>
        </is>
      </c>
      <c r="F233" s="2" t="inlineStr">
        <is>
          <t>0000353278-26-000012</t>
        </is>
      </c>
      <c r="G233" s="2" t="inlineStr">
        <is>
          <t>R5.htm</t>
        </is>
      </c>
      <c r="H233" s="2" t="inlineStr">
        <is>
          <t>Interest received</t>
        </is>
      </c>
      <c r="I233" s="2" t="inlineStr">
        <is>
          <t>Interest received is inside operating cash flow</t>
        </is>
      </c>
    </row>
    <row r="234">
      <c r="A234" s="2" t="inlineStr">
        <is>
          <t>Novo Nordisk</t>
        </is>
      </c>
      <c r="B234" s="2" t="n">
        <v>2025</v>
      </c>
      <c r="C234" s="2" t="inlineStr">
        <is>
          <t>interest_received_in_cfo</t>
        </is>
      </c>
      <c r="D234" s="2" t="n">
        <v>1398</v>
      </c>
      <c r="E234" s="2" t="inlineStr">
        <is>
          <t>DKK</t>
        </is>
      </c>
      <c r="F234" s="2" t="inlineStr">
        <is>
          <t>0000353278-26-000012</t>
        </is>
      </c>
      <c r="G234" s="2" t="inlineStr">
        <is>
          <t>R5.htm</t>
        </is>
      </c>
      <c r="H234" s="2" t="inlineStr">
        <is>
          <t>Interest received</t>
        </is>
      </c>
      <c r="I234" s="2" t="inlineStr">
        <is>
          <t>Interest received is inside operating cash flow</t>
        </is>
      </c>
    </row>
    <row r="235">
      <c r="A235" s="2" t="inlineStr">
        <is>
          <t>Novo Nordisk</t>
        </is>
      </c>
      <c r="B235" s="2" t="n">
        <v>2023</v>
      </c>
      <c r="C235" s="2" t="inlineStr">
        <is>
          <t>inventories</t>
        </is>
      </c>
      <c r="D235" s="2" t="n">
        <v>31811</v>
      </c>
      <c r="E235" s="2" t="inlineStr">
        <is>
          <t>DKK</t>
        </is>
      </c>
      <c r="F235" s="2" t="inlineStr">
        <is>
          <t>0001628280-25-003920</t>
        </is>
      </c>
      <c r="G235" s="2" t="inlineStr">
        <is>
          <t>R6.htm</t>
        </is>
      </c>
      <c r="H235" s="2" t="inlineStr">
        <is>
          <t>Inventories</t>
        </is>
      </c>
      <c r="I235" s="2" t="inlineStr"/>
    </row>
    <row r="236">
      <c r="A236" s="2" t="inlineStr">
        <is>
          <t>Novo Nordisk</t>
        </is>
      </c>
      <c r="B236" s="2" t="n">
        <v>2024</v>
      </c>
      <c r="C236" s="2" t="inlineStr">
        <is>
          <t>inventories</t>
        </is>
      </c>
      <c r="D236" s="2" t="n">
        <v>40849</v>
      </c>
      <c r="E236" s="2" t="inlineStr">
        <is>
          <t>DKK</t>
        </is>
      </c>
      <c r="F236" s="2" t="inlineStr">
        <is>
          <t>0000353278-26-000012</t>
        </is>
      </c>
      <c r="G236" s="2" t="inlineStr">
        <is>
          <t>R6.htm</t>
        </is>
      </c>
      <c r="H236" s="2" t="inlineStr">
        <is>
          <t>Inventories</t>
        </is>
      </c>
      <c r="I236" s="2" t="inlineStr"/>
    </row>
    <row r="237">
      <c r="A237" s="2" t="inlineStr">
        <is>
          <t>Novo Nordisk</t>
        </is>
      </c>
      <c r="B237" s="2" t="n">
        <v>2025</v>
      </c>
      <c r="C237" s="2" t="inlineStr">
        <is>
          <t>inventories</t>
        </is>
      </c>
      <c r="D237" s="2" t="n">
        <v>49623</v>
      </c>
      <c r="E237" s="2" t="inlineStr">
        <is>
          <t>DKK</t>
        </is>
      </c>
      <c r="F237" s="2" t="inlineStr">
        <is>
          <t>0000353278-26-000012</t>
        </is>
      </c>
      <c r="G237" s="2" t="inlineStr">
        <is>
          <t>R6.htm</t>
        </is>
      </c>
      <c r="H237" s="2" t="inlineStr">
        <is>
          <t>Inventories</t>
        </is>
      </c>
      <c r="I237" s="2" t="inlineStr"/>
    </row>
    <row r="238">
      <c r="A238" s="2" t="inlineStr">
        <is>
          <t>Novo Nordisk</t>
        </is>
      </c>
      <c r="B238" s="2" t="n">
        <v>2023</v>
      </c>
      <c r="C238" s="2" t="inlineStr">
        <is>
          <t>net_income</t>
        </is>
      </c>
      <c r="D238" s="2" t="n">
        <v>83683</v>
      </c>
      <c r="E238" s="2" t="inlineStr">
        <is>
          <t>DKK</t>
        </is>
      </c>
      <c r="F238" s="2" t="inlineStr">
        <is>
          <t>0000353278-26-000012</t>
        </is>
      </c>
      <c r="G238" s="2" t="inlineStr">
        <is>
          <t>R3.htm</t>
        </is>
      </c>
      <c r="H238" s="2" t="inlineStr">
        <is>
          <t>Net profit</t>
        </is>
      </c>
      <c r="I238" s="2" t="inlineStr"/>
    </row>
    <row r="239">
      <c r="A239" s="2" t="inlineStr">
        <is>
          <t>Novo Nordisk</t>
        </is>
      </c>
      <c r="B239" s="2" t="n">
        <v>2024</v>
      </c>
      <c r="C239" s="2" t="inlineStr">
        <is>
          <t>net_income</t>
        </is>
      </c>
      <c r="D239" s="2" t="n">
        <v>100988</v>
      </c>
      <c r="E239" s="2" t="inlineStr">
        <is>
          <t>DKK</t>
        </is>
      </c>
      <c r="F239" s="2" t="inlineStr">
        <is>
          <t>0000353278-26-000012</t>
        </is>
      </c>
      <c r="G239" s="2" t="inlineStr">
        <is>
          <t>R3.htm</t>
        </is>
      </c>
      <c r="H239" s="2" t="inlineStr">
        <is>
          <t>Net profit</t>
        </is>
      </c>
      <c r="I239" s="2" t="inlineStr"/>
    </row>
    <row r="240">
      <c r="A240" s="2" t="inlineStr">
        <is>
          <t>Novo Nordisk</t>
        </is>
      </c>
      <c r="B240" s="2" t="n">
        <v>2025</v>
      </c>
      <c r="C240" s="2" t="inlineStr">
        <is>
          <t>net_income</t>
        </is>
      </c>
      <c r="D240" s="2" t="n">
        <v>102434</v>
      </c>
      <c r="E240" s="2" t="inlineStr">
        <is>
          <t>DKK</t>
        </is>
      </c>
      <c r="F240" s="2" t="inlineStr">
        <is>
          <t>0000353278-26-000012</t>
        </is>
      </c>
      <c r="G240" s="2" t="inlineStr">
        <is>
          <t>R3.htm</t>
        </is>
      </c>
      <c r="H240" s="2" t="inlineStr">
        <is>
          <t>Net profit</t>
        </is>
      </c>
      <c r="I240" s="2" t="inlineStr"/>
    </row>
    <row r="241">
      <c r="A241" s="2" t="inlineStr">
        <is>
          <t>Novo Nordisk</t>
        </is>
      </c>
      <c r="B241" s="2" t="n">
        <v>2023</v>
      </c>
      <c r="C241" s="2" t="inlineStr">
        <is>
          <t>operating_income</t>
        </is>
      </c>
      <c r="D241" s="2" t="n">
        <v>102574</v>
      </c>
      <c r="E241" s="2" t="inlineStr">
        <is>
          <t>DKK</t>
        </is>
      </c>
      <c r="F241" s="2" t="inlineStr">
        <is>
          <t>0000353278-26-000012</t>
        </is>
      </c>
      <c r="G241" s="2" t="inlineStr">
        <is>
          <t>R3.htm</t>
        </is>
      </c>
      <c r="H241" s="2" t="inlineStr">
        <is>
          <t>Operating profit</t>
        </is>
      </c>
      <c r="I241" s="2" t="inlineStr"/>
    </row>
    <row r="242">
      <c r="A242" s="2" t="inlineStr">
        <is>
          <t>Novo Nordisk</t>
        </is>
      </c>
      <c r="B242" s="2" t="n">
        <v>2024</v>
      </c>
      <c r="C242" s="2" t="inlineStr">
        <is>
          <t>operating_income</t>
        </is>
      </c>
      <c r="D242" s="2" t="n">
        <v>128339</v>
      </c>
      <c r="E242" s="2" t="inlineStr">
        <is>
          <t>DKK</t>
        </is>
      </c>
      <c r="F242" s="2" t="inlineStr">
        <is>
          <t>0000353278-26-000012</t>
        </is>
      </c>
      <c r="G242" s="2" t="inlineStr">
        <is>
          <t>R3.htm</t>
        </is>
      </c>
      <c r="H242" s="2" t="inlineStr">
        <is>
          <t>Operating profit</t>
        </is>
      </c>
      <c r="I242" s="2" t="inlineStr"/>
    </row>
    <row r="243">
      <c r="A243" s="2" t="inlineStr">
        <is>
          <t>Novo Nordisk</t>
        </is>
      </c>
      <c r="B243" s="2" t="n">
        <v>2025</v>
      </c>
      <c r="C243" s="2" t="inlineStr">
        <is>
          <t>operating_income</t>
        </is>
      </c>
      <c r="D243" s="2" t="n">
        <v>127658</v>
      </c>
      <c r="E243" s="2" t="inlineStr">
        <is>
          <t>DKK</t>
        </is>
      </c>
      <c r="F243" s="2" t="inlineStr">
        <is>
          <t>0000353278-26-000012</t>
        </is>
      </c>
      <c r="G243" s="2" t="inlineStr">
        <is>
          <t>R3.htm</t>
        </is>
      </c>
      <c r="H243" s="2" t="inlineStr">
        <is>
          <t>Operating profit</t>
        </is>
      </c>
      <c r="I243" s="2" t="inlineStr"/>
    </row>
    <row r="244">
      <c r="A244" s="2" t="inlineStr">
        <is>
          <t>Novo Nordisk</t>
        </is>
      </c>
      <c r="B244" s="2" t="n">
        <v>2023</v>
      </c>
      <c r="C244" s="2" t="inlineStr">
        <is>
          <t>other_financial_assets</t>
        </is>
      </c>
      <c r="D244" s="2" t="n">
        <v>1253</v>
      </c>
      <c r="E244" s="2" t="inlineStr">
        <is>
          <t>DKK</t>
        </is>
      </c>
      <c r="F244" s="2" t="inlineStr">
        <is>
          <t>0001628280-25-003920</t>
        </is>
      </c>
      <c r="G244" s="2" t="inlineStr">
        <is>
          <t>R6.htm</t>
        </is>
      </c>
      <c r="H244" s="2" t="inlineStr">
        <is>
          <t>Other financial assets</t>
        </is>
      </c>
      <c r="I244" s="2" t="inlineStr">
        <is>
          <t>Non-current financial assets, book value</t>
        </is>
      </c>
    </row>
    <row r="245">
      <c r="A245" s="2" t="inlineStr">
        <is>
          <t>Novo Nordisk</t>
        </is>
      </c>
      <c r="B245" s="2" t="n">
        <v>2024</v>
      </c>
      <c r="C245" s="2" t="inlineStr">
        <is>
          <t>other_financial_assets</t>
        </is>
      </c>
      <c r="D245" s="2" t="n">
        <v>2277</v>
      </c>
      <c r="E245" s="2" t="inlineStr">
        <is>
          <t>DKK</t>
        </is>
      </c>
      <c r="F245" s="2" t="inlineStr">
        <is>
          <t>0000353278-26-000012</t>
        </is>
      </c>
      <c r="G245" s="2" t="inlineStr">
        <is>
          <t>R6.htm</t>
        </is>
      </c>
      <c r="H245" s="2" t="inlineStr">
        <is>
          <t>Other financial assets</t>
        </is>
      </c>
      <c r="I245" s="2" t="inlineStr">
        <is>
          <t>Non-current financial assets, book value</t>
        </is>
      </c>
    </row>
    <row r="246">
      <c r="A246" s="2" t="inlineStr">
        <is>
          <t>Novo Nordisk</t>
        </is>
      </c>
      <c r="B246" s="2" t="n">
        <v>2025</v>
      </c>
      <c r="C246" s="2" t="inlineStr">
        <is>
          <t>other_financial_assets</t>
        </is>
      </c>
      <c r="D246" s="2" t="n">
        <v>2141</v>
      </c>
      <c r="E246" s="2" t="inlineStr">
        <is>
          <t>DKK</t>
        </is>
      </c>
      <c r="F246" s="2" t="inlineStr">
        <is>
          <t>0000353278-26-000012</t>
        </is>
      </c>
      <c r="G246" s="2" t="inlineStr">
        <is>
          <t>R6.htm</t>
        </is>
      </c>
      <c r="H246" s="2" t="inlineStr">
        <is>
          <t>Other financial assets</t>
        </is>
      </c>
      <c r="I246" s="2" t="inlineStr">
        <is>
          <t>Non-current financial assets, book value</t>
        </is>
      </c>
    </row>
    <row r="247">
      <c r="A247" s="2" t="inlineStr">
        <is>
          <t>Novo Nordisk</t>
        </is>
      </c>
      <c r="B247" s="2" t="n">
        <v>2023</v>
      </c>
      <c r="C247" s="2" t="inlineStr">
        <is>
          <t>payables</t>
        </is>
      </c>
      <c r="D247" s="2" t="n">
        <v>25606</v>
      </c>
      <c r="E247" s="2" t="inlineStr">
        <is>
          <t>DKK</t>
        </is>
      </c>
      <c r="F247" s="2" t="inlineStr">
        <is>
          <t>0001628280-25-003920</t>
        </is>
      </c>
      <c r="G247" s="2" t="inlineStr">
        <is>
          <t>R6.htm</t>
        </is>
      </c>
      <c r="H247" s="2" t="inlineStr">
        <is>
          <t>Trade payables</t>
        </is>
      </c>
      <c r="I247" s="2" t="inlineStr"/>
    </row>
    <row r="248">
      <c r="A248" s="2" t="inlineStr">
        <is>
          <t>Novo Nordisk</t>
        </is>
      </c>
      <c r="B248" s="2" t="n">
        <v>2024</v>
      </c>
      <c r="C248" s="2" t="inlineStr">
        <is>
          <t>payables</t>
        </is>
      </c>
      <c r="D248" s="2" t="n">
        <v>17140</v>
      </c>
      <c r="E248" s="2" t="inlineStr">
        <is>
          <t>DKK</t>
        </is>
      </c>
      <c r="F248" s="2" t="inlineStr">
        <is>
          <t>0000353278-26-000012</t>
        </is>
      </c>
      <c r="G248" s="2" t="inlineStr">
        <is>
          <t>R6.htm</t>
        </is>
      </c>
      <c r="H248" s="2" t="inlineStr">
        <is>
          <t>Trade payables</t>
        </is>
      </c>
      <c r="I248" s="2" t="inlineStr"/>
    </row>
    <row r="249">
      <c r="A249" s="2" t="inlineStr">
        <is>
          <t>Novo Nordisk</t>
        </is>
      </c>
      <c r="B249" s="2" t="n">
        <v>2025</v>
      </c>
      <c r="C249" s="2" t="inlineStr">
        <is>
          <t>payables</t>
        </is>
      </c>
      <c r="D249" s="2" t="n">
        <v>19758</v>
      </c>
      <c r="E249" s="2" t="inlineStr">
        <is>
          <t>DKK</t>
        </is>
      </c>
      <c r="F249" s="2" t="inlineStr">
        <is>
          <t>0000353278-26-000012</t>
        </is>
      </c>
      <c r="G249" s="2" t="inlineStr">
        <is>
          <t>R6.htm</t>
        </is>
      </c>
      <c r="H249" s="2" t="inlineStr">
        <is>
          <t>Trade payables</t>
        </is>
      </c>
      <c r="I249" s="2" t="inlineStr"/>
    </row>
    <row r="250">
      <c r="A250" s="2" t="inlineStr">
        <is>
          <t>Novo Nordisk</t>
        </is>
      </c>
      <c r="B250" s="2" t="n">
        <v>2023</v>
      </c>
      <c r="C250" s="2" t="inlineStr">
        <is>
          <t>pension_liability</t>
        </is>
      </c>
      <c r="D250" s="2" t="n">
        <v>742</v>
      </c>
      <c r="E250" s="2" t="inlineStr">
        <is>
          <t>DKK</t>
        </is>
      </c>
      <c r="F250" s="2" t="inlineStr">
        <is>
          <t>0001628280-25-003920</t>
        </is>
      </c>
      <c r="G250" s="2" t="inlineStr">
        <is>
          <t>R6.htm</t>
        </is>
      </c>
      <c r="H250" s="2" t="inlineStr">
        <is>
          <t>Retirement benefit obligations</t>
        </is>
      </c>
      <c r="I250" s="2" t="inlineStr"/>
    </row>
    <row r="251">
      <c r="A251" s="2" t="inlineStr">
        <is>
          <t>Novo Nordisk</t>
        </is>
      </c>
      <c r="B251" s="2" t="n">
        <v>2024</v>
      </c>
      <c r="C251" s="2" t="inlineStr">
        <is>
          <t>pension_liability</t>
        </is>
      </c>
      <c r="D251" s="2" t="n">
        <v>903</v>
      </c>
      <c r="E251" s="2" t="inlineStr">
        <is>
          <t>DKK</t>
        </is>
      </c>
      <c r="F251" s="2" t="inlineStr">
        <is>
          <t>0000353278-26-000012</t>
        </is>
      </c>
      <c r="G251" s="2" t="inlineStr">
        <is>
          <t>R6.htm</t>
        </is>
      </c>
      <c r="H251" s="2" t="inlineStr">
        <is>
          <t>Retirement benefit obligations</t>
        </is>
      </c>
      <c r="I251" s="2" t="inlineStr"/>
    </row>
    <row r="252">
      <c r="A252" s="2" t="inlineStr">
        <is>
          <t>Novo Nordisk</t>
        </is>
      </c>
      <c r="B252" s="2" t="n">
        <v>2025</v>
      </c>
      <c r="C252" s="2" t="inlineStr">
        <is>
          <t>pension_liability</t>
        </is>
      </c>
      <c r="D252" s="2" t="n">
        <v>861</v>
      </c>
      <c r="E252" s="2" t="inlineStr">
        <is>
          <t>DKK</t>
        </is>
      </c>
      <c r="F252" s="2" t="inlineStr">
        <is>
          <t>0000353278-26-000012</t>
        </is>
      </c>
      <c r="G252" s="2" t="inlineStr">
        <is>
          <t>R6.htm</t>
        </is>
      </c>
      <c r="H252" s="2" t="inlineStr">
        <is>
          <t>Retirement benefit obligations</t>
        </is>
      </c>
      <c r="I252" s="2" t="inlineStr"/>
    </row>
    <row r="253">
      <c r="A253" s="2" t="inlineStr">
        <is>
          <t>Novo Nordisk</t>
        </is>
      </c>
      <c r="B253" s="2" t="n">
        <v>2023</v>
      </c>
      <c r="C253" s="2" t="inlineStr">
        <is>
          <t>pretax_income</t>
        </is>
      </c>
      <c r="D253" s="2" t="n">
        <v>104674</v>
      </c>
      <c r="E253" s="2" t="inlineStr">
        <is>
          <t>DKK</t>
        </is>
      </c>
      <c r="F253" s="2" t="inlineStr">
        <is>
          <t>0000353278-26-000012</t>
        </is>
      </c>
      <c r="G253" s="2" t="inlineStr">
        <is>
          <t>R3.htm</t>
        </is>
      </c>
      <c r="H253" s="2" t="inlineStr">
        <is>
          <t>Profit before income taxes</t>
        </is>
      </c>
      <c r="I253" s="2" t="inlineStr"/>
    </row>
    <row r="254">
      <c r="A254" s="2" t="inlineStr">
        <is>
          <t>Novo Nordisk</t>
        </is>
      </c>
      <c r="B254" s="2" t="n">
        <v>2024</v>
      </c>
      <c r="C254" s="2" t="inlineStr">
        <is>
          <t>pretax_income</t>
        </is>
      </c>
      <c r="D254" s="2" t="n">
        <v>127191</v>
      </c>
      <c r="E254" s="2" t="inlineStr">
        <is>
          <t>DKK</t>
        </is>
      </c>
      <c r="F254" s="2" t="inlineStr">
        <is>
          <t>0000353278-26-000012</t>
        </is>
      </c>
      <c r="G254" s="2" t="inlineStr">
        <is>
          <t>R3.htm</t>
        </is>
      </c>
      <c r="H254" s="2" t="inlineStr">
        <is>
          <t>Profit before income taxes</t>
        </is>
      </c>
      <c r="I254" s="2" t="inlineStr"/>
    </row>
    <row r="255">
      <c r="A255" s="2" t="inlineStr">
        <is>
          <t>Novo Nordisk</t>
        </is>
      </c>
      <c r="B255" s="2" t="n">
        <v>2025</v>
      </c>
      <c r="C255" s="2" t="inlineStr">
        <is>
          <t>pretax_income</t>
        </is>
      </c>
      <c r="D255" s="2" t="n">
        <v>130540</v>
      </c>
      <c r="E255" s="2" t="inlineStr">
        <is>
          <t>DKK</t>
        </is>
      </c>
      <c r="F255" s="2" t="inlineStr">
        <is>
          <t>0000353278-26-000012</t>
        </is>
      </c>
      <c r="G255" s="2" t="inlineStr">
        <is>
          <t>R3.htm</t>
        </is>
      </c>
      <c r="H255" s="2" t="inlineStr">
        <is>
          <t>Profit before income taxes</t>
        </is>
      </c>
      <c r="I255" s="2" t="inlineStr"/>
    </row>
    <row r="256">
      <c r="A256" s="2" t="inlineStr">
        <is>
          <t>Novo Nordisk</t>
        </is>
      </c>
      <c r="B256" s="2" t="n">
        <v>2023</v>
      </c>
      <c r="C256" s="2" t="inlineStr">
        <is>
          <t>r_and_d</t>
        </is>
      </c>
      <c r="D256" s="2" t="n">
        <v>32443</v>
      </c>
      <c r="E256" s="2" t="inlineStr">
        <is>
          <t>DKK</t>
        </is>
      </c>
      <c r="F256" s="2" t="inlineStr">
        <is>
          <t>0000353278-26-000012</t>
        </is>
      </c>
      <c r="G256" s="2" t="inlineStr">
        <is>
          <t>R3.htm</t>
        </is>
      </c>
      <c r="H256" s="2" t="inlineStr">
        <is>
          <t>Research and development costs</t>
        </is>
      </c>
      <c r="I256" s="2" t="inlineStr"/>
    </row>
    <row r="257">
      <c r="A257" s="2" t="inlineStr">
        <is>
          <t>Novo Nordisk</t>
        </is>
      </c>
      <c r="B257" s="2" t="n">
        <v>2024</v>
      </c>
      <c r="C257" s="2" t="inlineStr">
        <is>
          <t>r_and_d</t>
        </is>
      </c>
      <c r="D257" s="2" t="n">
        <v>48062</v>
      </c>
      <c r="E257" s="2" t="inlineStr">
        <is>
          <t>DKK</t>
        </is>
      </c>
      <c r="F257" s="2" t="inlineStr">
        <is>
          <t>0000353278-26-000012</t>
        </is>
      </c>
      <c r="G257" s="2" t="inlineStr">
        <is>
          <t>R3.htm</t>
        </is>
      </c>
      <c r="H257" s="2" t="inlineStr">
        <is>
          <t>Research and development costs</t>
        </is>
      </c>
      <c r="I257" s="2" t="inlineStr"/>
    </row>
    <row r="258">
      <c r="A258" s="2" t="inlineStr">
        <is>
          <t>Novo Nordisk</t>
        </is>
      </c>
      <c r="B258" s="2" t="n">
        <v>2025</v>
      </c>
      <c r="C258" s="2" t="inlineStr">
        <is>
          <t>r_and_d</t>
        </is>
      </c>
      <c r="D258" s="2" t="n">
        <v>52039</v>
      </c>
      <c r="E258" s="2" t="inlineStr">
        <is>
          <t>DKK</t>
        </is>
      </c>
      <c r="F258" s="2" t="inlineStr">
        <is>
          <t>0000353278-26-000012</t>
        </is>
      </c>
      <c r="G258" s="2" t="inlineStr">
        <is>
          <t>R3.htm</t>
        </is>
      </c>
      <c r="H258" s="2" t="inlineStr">
        <is>
          <t>Research and development costs</t>
        </is>
      </c>
      <c r="I258" s="2" t="inlineStr"/>
    </row>
    <row r="259">
      <c r="A259" s="2" t="inlineStr">
        <is>
          <t>Novo Nordisk</t>
        </is>
      </c>
      <c r="B259" s="2" t="n">
        <v>2023</v>
      </c>
      <c r="C259" s="2" t="inlineStr">
        <is>
          <t>receivables</t>
        </is>
      </c>
      <c r="D259" s="2" t="n">
        <v>64770</v>
      </c>
      <c r="E259" s="2" t="inlineStr">
        <is>
          <t>DKK</t>
        </is>
      </c>
      <c r="F259" s="2" t="inlineStr">
        <is>
          <t>0001628280-25-003920</t>
        </is>
      </c>
      <c r="G259" s="2" t="inlineStr">
        <is>
          <t>R6.htm</t>
        </is>
      </c>
      <c r="H259" s="2" t="inlineStr">
        <is>
          <t>Trade receivables</t>
        </is>
      </c>
      <c r="I259" s="2" t="inlineStr"/>
    </row>
    <row r="260">
      <c r="A260" s="2" t="inlineStr">
        <is>
          <t>Novo Nordisk</t>
        </is>
      </c>
      <c r="B260" s="2" t="n">
        <v>2024</v>
      </c>
      <c r="C260" s="2" t="inlineStr">
        <is>
          <t>receivables</t>
        </is>
      </c>
      <c r="D260" s="2" t="n">
        <v>71949</v>
      </c>
      <c r="E260" s="2" t="inlineStr">
        <is>
          <t>DKK</t>
        </is>
      </c>
      <c r="F260" s="2" t="inlineStr">
        <is>
          <t>0000353278-26-000012</t>
        </is>
      </c>
      <c r="G260" s="2" t="inlineStr">
        <is>
          <t>R6.htm</t>
        </is>
      </c>
      <c r="H260" s="2" t="inlineStr">
        <is>
          <t>Trade receivables</t>
        </is>
      </c>
      <c r="I260" s="2" t="inlineStr"/>
    </row>
    <row r="261">
      <c r="A261" s="2" t="inlineStr">
        <is>
          <t>Novo Nordisk</t>
        </is>
      </c>
      <c r="B261" s="2" t="n">
        <v>2025</v>
      </c>
      <c r="C261" s="2" t="inlineStr">
        <is>
          <t>receivables</t>
        </is>
      </c>
      <c r="D261" s="2" t="n">
        <v>70856</v>
      </c>
      <c r="E261" s="2" t="inlineStr">
        <is>
          <t>DKK</t>
        </is>
      </c>
      <c r="F261" s="2" t="inlineStr">
        <is>
          <t>0000353278-26-000012</t>
        </is>
      </c>
      <c r="G261" s="2" t="inlineStr">
        <is>
          <t>R6.htm</t>
        </is>
      </c>
      <c r="H261" s="2" t="inlineStr">
        <is>
          <t>Trade receivables</t>
        </is>
      </c>
      <c r="I261" s="2" t="inlineStr"/>
    </row>
    <row r="262">
      <c r="A262" s="2" t="inlineStr">
        <is>
          <t>Novo Nordisk</t>
        </is>
      </c>
      <c r="B262" s="2" t="n">
        <v>2023</v>
      </c>
      <c r="C262" s="2" t="inlineStr">
        <is>
          <t>revenue</t>
        </is>
      </c>
      <c r="D262" s="2" t="n">
        <v>232261</v>
      </c>
      <c r="E262" s="2" t="inlineStr">
        <is>
          <t>DKK</t>
        </is>
      </c>
      <c r="F262" s="2" t="inlineStr">
        <is>
          <t>0000353278-26-000012</t>
        </is>
      </c>
      <c r="G262" s="2" t="inlineStr">
        <is>
          <t>R3.htm</t>
        </is>
      </c>
      <c r="H262" s="2" t="inlineStr">
        <is>
          <t>Net sales</t>
        </is>
      </c>
      <c r="I262" s="2" t="inlineStr"/>
    </row>
    <row r="263">
      <c r="A263" s="2" t="inlineStr">
        <is>
          <t>Novo Nordisk</t>
        </is>
      </c>
      <c r="B263" s="2" t="n">
        <v>2024</v>
      </c>
      <c r="C263" s="2" t="inlineStr">
        <is>
          <t>revenue</t>
        </is>
      </c>
      <c r="D263" s="2" t="n">
        <v>290403</v>
      </c>
      <c r="E263" s="2" t="inlineStr">
        <is>
          <t>DKK</t>
        </is>
      </c>
      <c r="F263" s="2" t="inlineStr">
        <is>
          <t>0000353278-26-000012</t>
        </is>
      </c>
      <c r="G263" s="2" t="inlineStr">
        <is>
          <t>R3.htm</t>
        </is>
      </c>
      <c r="H263" s="2" t="inlineStr">
        <is>
          <t>Net sales</t>
        </is>
      </c>
      <c r="I263" s="2" t="inlineStr"/>
    </row>
    <row r="264">
      <c r="A264" s="2" t="inlineStr">
        <is>
          <t>Novo Nordisk</t>
        </is>
      </c>
      <c r="B264" s="2" t="n">
        <v>2025</v>
      </c>
      <c r="C264" s="2" t="inlineStr">
        <is>
          <t>revenue</t>
        </is>
      </c>
      <c r="D264" s="2" t="n">
        <v>309064</v>
      </c>
      <c r="E264" s="2" t="inlineStr">
        <is>
          <t>DKK</t>
        </is>
      </c>
      <c r="F264" s="2" t="inlineStr">
        <is>
          <t>0000353278-26-000012</t>
        </is>
      </c>
      <c r="G264" s="2" t="inlineStr">
        <is>
          <t>R3.htm</t>
        </is>
      </c>
      <c r="H264" s="2" t="inlineStr">
        <is>
          <t>Net sales</t>
        </is>
      </c>
      <c r="I264" s="2" t="inlineStr"/>
    </row>
    <row r="265">
      <c r="A265" s="2" t="inlineStr">
        <is>
          <t>Novo Nordisk</t>
        </is>
      </c>
      <c r="B265" s="2" t="n">
        <v>2025</v>
      </c>
      <c r="C265" s="2" t="inlineStr">
        <is>
          <t>shares_outstanding_cover</t>
        </is>
      </c>
      <c r="D265" s="2" t="n">
        <v>4465</v>
      </c>
      <c r="E265" s="2" t="inlineStr">
        <is>
          <t>DKK</t>
        </is>
      </c>
      <c r="F265" s="2" t="inlineStr">
        <is>
          <t>0000353278-26-000012</t>
        </is>
      </c>
      <c r="G265" s="2" t="inlineStr">
        <is>
          <t>R1.htm</t>
        </is>
      </c>
      <c r="H265" s="2" t="inlineStr">
        <is>
          <t>Entity Common Stock, Shares Outstanding</t>
        </is>
      </c>
      <c r="I265" s="2" t="inlineStr">
        <is>
          <t>As stated on the cover page (cover date after fiscal year-end). Novo Nordisk: class A plus class B, includes treasury shares</t>
        </is>
      </c>
    </row>
    <row r="266">
      <c r="A266" s="2" t="inlineStr">
        <is>
          <t>Novo Nordisk</t>
        </is>
      </c>
      <c r="B266" s="2" t="n">
        <v>2023</v>
      </c>
      <c r="C266" s="2" t="inlineStr">
        <is>
          <t>short_term_investments</t>
        </is>
      </c>
      <c r="D266" s="2" t="n">
        <v>15838</v>
      </c>
      <c r="E266" s="2" t="inlineStr">
        <is>
          <t>DKK</t>
        </is>
      </c>
      <c r="F266" s="2" t="inlineStr">
        <is>
          <t>0001628280-25-003920</t>
        </is>
      </c>
      <c r="G266" s="2" t="inlineStr">
        <is>
          <t>R6.htm</t>
        </is>
      </c>
      <c r="H266" s="2" t="inlineStr">
        <is>
          <t>Marketable securities</t>
        </is>
      </c>
      <c r="I266" s="2" t="inlineStr"/>
    </row>
    <row r="267">
      <c r="A267" s="2" t="inlineStr">
        <is>
          <t>Novo Nordisk</t>
        </is>
      </c>
      <c r="B267" s="2" t="n">
        <v>2024</v>
      </c>
      <c r="C267" s="2" t="inlineStr">
        <is>
          <t>short_term_investments</t>
        </is>
      </c>
      <c r="D267" s="2" t="n">
        <v>10653</v>
      </c>
      <c r="E267" s="2" t="inlineStr">
        <is>
          <t>DKK</t>
        </is>
      </c>
      <c r="F267" s="2" t="inlineStr">
        <is>
          <t>0000353278-26-000012</t>
        </is>
      </c>
      <c r="G267" s="2" t="inlineStr">
        <is>
          <t>R6.htm</t>
        </is>
      </c>
      <c r="H267" s="2" t="inlineStr">
        <is>
          <t>Marketable securities</t>
        </is>
      </c>
      <c r="I267" s="2" t="inlineStr"/>
    </row>
    <row r="268">
      <c r="A268" s="2" t="inlineStr">
        <is>
          <t>Novo Nordisk</t>
        </is>
      </c>
      <c r="B268" s="2" t="n">
        <v>2025</v>
      </c>
      <c r="C268" s="2" t="inlineStr">
        <is>
          <t>short_term_investments</t>
        </is>
      </c>
      <c r="D268" s="2" t="n">
        <v>498</v>
      </c>
      <c r="E268" s="2" t="inlineStr">
        <is>
          <t>DKK</t>
        </is>
      </c>
      <c r="F268" s="2" t="inlineStr">
        <is>
          <t>0000353278-26-000012</t>
        </is>
      </c>
      <c r="G268" s="2" t="inlineStr">
        <is>
          <t>R6.htm</t>
        </is>
      </c>
      <c r="H268" s="2" t="inlineStr">
        <is>
          <t>Marketable securities</t>
        </is>
      </c>
      <c r="I268" s="2" t="inlineStr"/>
    </row>
    <row r="269">
      <c r="A269" s="2" t="inlineStr">
        <is>
          <t>Novo Nordisk</t>
        </is>
      </c>
      <c r="B269" s="2" t="n">
        <v>2023</v>
      </c>
      <c r="C269" s="2" t="inlineStr">
        <is>
          <t>total_assets</t>
        </is>
      </c>
      <c r="D269" s="2" t="n">
        <v>314486</v>
      </c>
      <c r="E269" s="2" t="inlineStr">
        <is>
          <t>DKK</t>
        </is>
      </c>
      <c r="F269" s="2" t="inlineStr">
        <is>
          <t>0001628280-25-003920</t>
        </is>
      </c>
      <c r="G269" s="2" t="inlineStr">
        <is>
          <t>R6.htm</t>
        </is>
      </c>
      <c r="H269" s="2" t="inlineStr">
        <is>
          <t>Total assets</t>
        </is>
      </c>
      <c r="I269" s="2" t="inlineStr"/>
    </row>
    <row r="270">
      <c r="A270" s="2" t="inlineStr">
        <is>
          <t>Novo Nordisk</t>
        </is>
      </c>
      <c r="B270" s="2" t="n">
        <v>2024</v>
      </c>
      <c r="C270" s="2" t="inlineStr">
        <is>
          <t>total_assets</t>
        </is>
      </c>
      <c r="D270" s="2" t="n">
        <v>465630</v>
      </c>
      <c r="E270" s="2" t="inlineStr">
        <is>
          <t>DKK</t>
        </is>
      </c>
      <c r="F270" s="2" t="inlineStr">
        <is>
          <t>0000353278-26-000012</t>
        </is>
      </c>
      <c r="G270" s="2" t="inlineStr">
        <is>
          <t>R6.htm</t>
        </is>
      </c>
      <c r="H270" s="2" t="inlineStr">
        <is>
          <t>Total assets</t>
        </is>
      </c>
      <c r="I270" s="2" t="inlineStr"/>
    </row>
    <row r="271">
      <c r="A271" s="2" t="inlineStr">
        <is>
          <t>Novo Nordisk</t>
        </is>
      </c>
      <c r="B271" s="2" t="n">
        <v>2025</v>
      </c>
      <c r="C271" s="2" t="inlineStr">
        <is>
          <t>total_assets</t>
        </is>
      </c>
      <c r="D271" s="2" t="n">
        <v>542902</v>
      </c>
      <c r="E271" s="2" t="inlineStr">
        <is>
          <t>DKK</t>
        </is>
      </c>
      <c r="F271" s="2" t="inlineStr">
        <is>
          <t>0000353278-26-000012</t>
        </is>
      </c>
      <c r="G271" s="2" t="inlineStr">
        <is>
          <t>R6.htm</t>
        </is>
      </c>
      <c r="H271" s="2" t="inlineStr">
        <is>
          <t>Total assets</t>
        </is>
      </c>
      <c r="I271" s="2" t="inlineStr"/>
    </row>
    <row r="272">
      <c r="A272" s="2" t="inlineStr">
        <is>
          <t>Novo Nordisk</t>
        </is>
      </c>
      <c r="B272" s="2" t="n">
        <v>2023</v>
      </c>
      <c r="C272" s="2" t="inlineStr">
        <is>
          <t>total_equity</t>
        </is>
      </c>
      <c r="D272" s="2" t="n">
        <v>106561</v>
      </c>
      <c r="E272" s="2" t="inlineStr">
        <is>
          <t>DKK</t>
        </is>
      </c>
      <c r="F272" s="2" t="inlineStr">
        <is>
          <t>0001628280-25-003920</t>
        </is>
      </c>
      <c r="G272" s="2" t="inlineStr">
        <is>
          <t>R6.htm</t>
        </is>
      </c>
      <c r="H272" s="2" t="inlineStr">
        <is>
          <t>Total equity</t>
        </is>
      </c>
      <c r="I272" s="2" t="inlineStr"/>
    </row>
    <row r="273">
      <c r="A273" s="2" t="inlineStr">
        <is>
          <t>Novo Nordisk</t>
        </is>
      </c>
      <c r="B273" s="2" t="n">
        <v>2024</v>
      </c>
      <c r="C273" s="2" t="inlineStr">
        <is>
          <t>total_equity</t>
        </is>
      </c>
      <c r="D273" s="2" t="n">
        <v>143486</v>
      </c>
      <c r="E273" s="2" t="inlineStr">
        <is>
          <t>DKK</t>
        </is>
      </c>
      <c r="F273" s="2" t="inlineStr">
        <is>
          <t>0000353278-26-000012</t>
        </is>
      </c>
      <c r="G273" s="2" t="inlineStr">
        <is>
          <t>R6.htm</t>
        </is>
      </c>
      <c r="H273" s="2" t="inlineStr">
        <is>
          <t>Total equity</t>
        </is>
      </c>
      <c r="I273" s="2" t="inlineStr"/>
    </row>
    <row r="274">
      <c r="A274" s="2" t="inlineStr">
        <is>
          <t>Novo Nordisk</t>
        </is>
      </c>
      <c r="B274" s="2" t="n">
        <v>2025</v>
      </c>
      <c r="C274" s="2" t="inlineStr">
        <is>
          <t>total_equity</t>
        </is>
      </c>
      <c r="D274" s="2" t="n">
        <v>194047</v>
      </c>
      <c r="E274" s="2" t="inlineStr">
        <is>
          <t>DKK</t>
        </is>
      </c>
      <c r="F274" s="2" t="inlineStr">
        <is>
          <t>0000353278-26-000012</t>
        </is>
      </c>
      <c r="G274" s="2" t="inlineStr">
        <is>
          <t>R6.htm</t>
        </is>
      </c>
      <c r="H274" s="2" t="inlineStr">
        <is>
          <t>Total equity</t>
        </is>
      </c>
      <c r="I274" s="2" t="inlineStr"/>
    </row>
    <row r="275">
      <c r="A275" s="2" t="inlineStr">
        <is>
          <t>Novo Nordisk</t>
        </is>
      </c>
      <c r="B275" s="2" t="n">
        <v>2023</v>
      </c>
      <c r="C275" s="2" t="inlineStr">
        <is>
          <t>total_liabilities</t>
        </is>
      </c>
      <c r="D275" s="2" t="n">
        <v>207925</v>
      </c>
      <c r="E275" s="2" t="inlineStr">
        <is>
          <t>DKK</t>
        </is>
      </c>
      <c r="F275" s="2" t="inlineStr">
        <is>
          <t>0001628280-25-003920</t>
        </is>
      </c>
      <c r="G275" s="2" t="inlineStr">
        <is>
          <t>R6.htm</t>
        </is>
      </c>
      <c r="H275" s="2" t="inlineStr">
        <is>
          <t>Total liabilities</t>
        </is>
      </c>
      <c r="I275" s="2" t="inlineStr"/>
    </row>
    <row r="276">
      <c r="A276" s="2" t="inlineStr">
        <is>
          <t>Novo Nordisk</t>
        </is>
      </c>
      <c r="B276" s="2" t="n">
        <v>2024</v>
      </c>
      <c r="C276" s="2" t="inlineStr">
        <is>
          <t>total_liabilities</t>
        </is>
      </c>
      <c r="D276" s="2" t="n">
        <v>322144</v>
      </c>
      <c r="E276" s="2" t="inlineStr">
        <is>
          <t>DKK</t>
        </is>
      </c>
      <c r="F276" s="2" t="inlineStr">
        <is>
          <t>0000353278-26-000012</t>
        </is>
      </c>
      <c r="G276" s="2" t="inlineStr">
        <is>
          <t>R6.htm</t>
        </is>
      </c>
      <c r="H276" s="2" t="inlineStr">
        <is>
          <t>Total liabilities</t>
        </is>
      </c>
      <c r="I276" s="2" t="inlineStr"/>
    </row>
    <row r="277">
      <c r="A277" s="2" t="inlineStr">
        <is>
          <t>Novo Nordisk</t>
        </is>
      </c>
      <c r="B277" s="2" t="n">
        <v>2025</v>
      </c>
      <c r="C277" s="2" t="inlineStr">
        <is>
          <t>total_liabilities</t>
        </is>
      </c>
      <c r="D277" s="2" t="n">
        <v>348855</v>
      </c>
      <c r="E277" s="2" t="inlineStr">
        <is>
          <t>DKK</t>
        </is>
      </c>
      <c r="F277" s="2" t="inlineStr">
        <is>
          <t>0000353278-26-000012</t>
        </is>
      </c>
      <c r="G277" s="2" t="inlineStr">
        <is>
          <t>R6.htm</t>
        </is>
      </c>
      <c r="H277" s="2" t="inlineStr">
        <is>
          <t>Total liabilities</t>
        </is>
      </c>
      <c r="I27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7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4" t="inlineStr">
        <is>
          <t>Comparable metrics, as reported (millions of reporting currency)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inlineStr">
        <is>
          <t>USD</t>
        </is>
      </c>
      <c r="C2" s="2" t="inlineStr">
        <is>
          <t>USD</t>
        </is>
      </c>
      <c r="D2" s="2" t="inlineStr">
        <is>
          <t>USD</t>
        </is>
      </c>
      <c r="E2" s="2" t="inlineStr">
        <is>
          <t>GBP</t>
        </is>
      </c>
      <c r="F2" s="2" t="inlineStr">
        <is>
          <t>GBP</t>
        </is>
      </c>
      <c r="G2" s="2" t="inlineStr">
        <is>
          <t>GBP</t>
        </is>
      </c>
      <c r="H2" s="2" t="inlineStr">
        <is>
          <t>DKK</t>
        </is>
      </c>
      <c r="I2" s="2" t="inlineStr">
        <is>
          <t>DKK</t>
        </is>
      </c>
      <c r="J2" s="2" t="inlineStr">
        <is>
          <t>DKK</t>
        </is>
      </c>
    </row>
    <row r="3">
      <c r="A3" s="3" t="inlineStr">
        <is>
          <t>Metric</t>
        </is>
      </c>
      <c r="B3" s="3" t="inlineStr">
        <is>
          <t>Novartis 2023</t>
        </is>
      </c>
      <c r="C3" s="3" t="inlineStr">
        <is>
          <t>Novartis 2024</t>
        </is>
      </c>
      <c r="D3" s="3" t="inlineStr">
        <is>
          <t>Novartis 2025</t>
        </is>
      </c>
      <c r="E3" s="3" t="inlineStr">
        <is>
          <t>GSK 2023</t>
        </is>
      </c>
      <c r="F3" s="3" t="inlineStr">
        <is>
          <t>GSK 2024</t>
        </is>
      </c>
      <c r="G3" s="3" t="inlineStr">
        <is>
          <t>GSK 2025</t>
        </is>
      </c>
      <c r="H3" s="3" t="inlineStr">
        <is>
          <t>Novo Nordisk 2023</t>
        </is>
      </c>
      <c r="I3" s="3" t="inlineStr">
        <is>
          <t>Novo Nordisk 2024</t>
        </is>
      </c>
      <c r="J3" s="3" t="inlineStr">
        <is>
          <t>Novo Nordisk 2025</t>
        </is>
      </c>
    </row>
    <row r="4">
      <c r="A4" s="2" t="inlineStr">
        <is>
          <t>Revenue (net sales)</t>
        </is>
      </c>
      <c r="B4" s="2">
        <f>SUMIFS(Data!$D$2:$D$277,Data!$A$2:$A$277,"Novartis",Data!$B$2:$B$277,2023,Data!$C$2:$C$277,"revenue")</f>
        <v/>
      </c>
      <c r="C4" s="2">
        <f>SUMIFS(Data!$D$2:$D$277,Data!$A$2:$A$277,"Novartis",Data!$B$2:$B$277,2024,Data!$C$2:$C$277,"revenue")</f>
        <v/>
      </c>
      <c r="D4" s="2">
        <f>SUMIFS(Data!$D$2:$D$277,Data!$A$2:$A$277,"Novartis",Data!$B$2:$B$277,2025,Data!$C$2:$C$277,"revenue")</f>
        <v/>
      </c>
      <c r="E4" s="2">
        <f>SUMIFS(Data!$D$2:$D$277,Data!$A$2:$A$277,"GSK",Data!$B$2:$B$277,2023,Data!$C$2:$C$277,"revenue")</f>
        <v/>
      </c>
      <c r="F4" s="2">
        <f>SUMIFS(Data!$D$2:$D$277,Data!$A$2:$A$277,"GSK",Data!$B$2:$B$277,2024,Data!$C$2:$C$277,"revenue")</f>
        <v/>
      </c>
      <c r="G4" s="2">
        <f>SUMIFS(Data!$D$2:$D$277,Data!$A$2:$A$277,"GSK",Data!$B$2:$B$277,2025,Data!$C$2:$C$277,"revenue")</f>
        <v/>
      </c>
      <c r="H4" s="2">
        <f>SUMIFS(Data!$D$2:$D$277,Data!$A$2:$A$277,"Novo Nordisk",Data!$B$2:$B$277,2023,Data!$C$2:$C$277,"revenue")</f>
        <v/>
      </c>
      <c r="I4" s="2">
        <f>SUMIFS(Data!$D$2:$D$277,Data!$A$2:$A$277,"Novo Nordisk",Data!$B$2:$B$277,2024,Data!$C$2:$C$277,"revenue")</f>
        <v/>
      </c>
      <c r="J4" s="2">
        <f>SUMIFS(Data!$D$2:$D$277,Data!$A$2:$A$277,"Novo Nordisk",Data!$B$2:$B$277,2025,Data!$C$2:$C$277,"revenue")</f>
        <v/>
      </c>
    </row>
    <row r="5">
      <c r="A5" s="2" t="inlineStr">
        <is>
          <t>Operating income (reported)</t>
        </is>
      </c>
      <c r="B5" s="2">
        <f>SUMIFS(Data!$D$2:$D$277,Data!$A$2:$A$277,"Novartis",Data!$B$2:$B$277,2023,Data!$C$2:$C$277,"operating_income")</f>
        <v/>
      </c>
      <c r="C5" s="2">
        <f>SUMIFS(Data!$D$2:$D$277,Data!$A$2:$A$277,"Novartis",Data!$B$2:$B$277,2024,Data!$C$2:$C$277,"operating_income")</f>
        <v/>
      </c>
      <c r="D5" s="2">
        <f>SUMIFS(Data!$D$2:$D$277,Data!$A$2:$A$277,"Novartis",Data!$B$2:$B$277,2025,Data!$C$2:$C$277,"operating_income")</f>
        <v/>
      </c>
      <c r="E5" s="2">
        <f>SUMIFS(Data!$D$2:$D$277,Data!$A$2:$A$277,"GSK",Data!$B$2:$B$277,2023,Data!$C$2:$C$277,"operating_income")</f>
        <v/>
      </c>
      <c r="F5" s="2">
        <f>SUMIFS(Data!$D$2:$D$277,Data!$A$2:$A$277,"GSK",Data!$B$2:$B$277,2024,Data!$C$2:$C$277,"operating_income")</f>
        <v/>
      </c>
      <c r="G5" s="2">
        <f>SUMIFS(Data!$D$2:$D$277,Data!$A$2:$A$277,"GSK",Data!$B$2:$B$277,2025,Data!$C$2:$C$277,"operating_income")</f>
        <v/>
      </c>
      <c r="H5" s="2">
        <f>SUMIFS(Data!$D$2:$D$277,Data!$A$2:$A$277,"Novo Nordisk",Data!$B$2:$B$277,2023,Data!$C$2:$C$277,"operating_income")</f>
        <v/>
      </c>
      <c r="I5" s="2">
        <f>SUMIFS(Data!$D$2:$D$277,Data!$A$2:$A$277,"Novo Nordisk",Data!$B$2:$B$277,2024,Data!$C$2:$C$277,"operating_income")</f>
        <v/>
      </c>
      <c r="J5" s="2">
        <f>SUMIFS(Data!$D$2:$D$277,Data!$A$2:$A$277,"Novo Nordisk",Data!$B$2:$B$277,2025,Data!$C$2:$C$277,"operating_income")</f>
        <v/>
      </c>
    </row>
    <row r="6">
      <c r="A6" s="2" t="inlineStr">
        <is>
          <t>Research and development expense</t>
        </is>
      </c>
      <c r="B6" s="2">
        <f>SUMIFS(Data!$D$2:$D$277,Data!$A$2:$A$277,"Novartis",Data!$B$2:$B$277,2023,Data!$C$2:$C$277,"r_and_d")</f>
        <v/>
      </c>
      <c r="C6" s="2">
        <f>SUMIFS(Data!$D$2:$D$277,Data!$A$2:$A$277,"Novartis",Data!$B$2:$B$277,2024,Data!$C$2:$C$277,"r_and_d")</f>
        <v/>
      </c>
      <c r="D6" s="2">
        <f>SUMIFS(Data!$D$2:$D$277,Data!$A$2:$A$277,"Novartis",Data!$B$2:$B$277,2025,Data!$C$2:$C$277,"r_and_d")</f>
        <v/>
      </c>
      <c r="E6" s="2">
        <f>SUMIFS(Data!$D$2:$D$277,Data!$A$2:$A$277,"GSK",Data!$B$2:$B$277,2023,Data!$C$2:$C$277,"r_and_d")</f>
        <v/>
      </c>
      <c r="F6" s="2">
        <f>SUMIFS(Data!$D$2:$D$277,Data!$A$2:$A$277,"GSK",Data!$B$2:$B$277,2024,Data!$C$2:$C$277,"r_and_d")</f>
        <v/>
      </c>
      <c r="G6" s="2">
        <f>SUMIFS(Data!$D$2:$D$277,Data!$A$2:$A$277,"GSK",Data!$B$2:$B$277,2025,Data!$C$2:$C$277,"r_and_d")</f>
        <v/>
      </c>
      <c r="H6" s="2">
        <f>SUMIFS(Data!$D$2:$D$277,Data!$A$2:$A$277,"Novo Nordisk",Data!$B$2:$B$277,2023,Data!$C$2:$C$277,"r_and_d")</f>
        <v/>
      </c>
      <c r="I6" s="2">
        <f>SUMIFS(Data!$D$2:$D$277,Data!$A$2:$A$277,"Novo Nordisk",Data!$B$2:$B$277,2024,Data!$C$2:$C$277,"r_and_d")</f>
        <v/>
      </c>
      <c r="J6" s="2">
        <f>SUMIFS(Data!$D$2:$D$277,Data!$A$2:$A$277,"Novo Nordisk",Data!$B$2:$B$277,2025,Data!$C$2:$C$277,"r_and_d")</f>
        <v/>
      </c>
    </row>
    <row r="7">
      <c r="A7" s="2" t="inlineStr">
        <is>
          <t>Income tax expense</t>
        </is>
      </c>
      <c r="B7" s="2">
        <f>SUMIFS(Data!$D$2:$D$277,Data!$A$2:$A$277,"Novartis",Data!$B$2:$B$277,2023,Data!$C$2:$C$277,"income_tax")</f>
        <v/>
      </c>
      <c r="C7" s="2">
        <f>SUMIFS(Data!$D$2:$D$277,Data!$A$2:$A$277,"Novartis",Data!$B$2:$B$277,2024,Data!$C$2:$C$277,"income_tax")</f>
        <v/>
      </c>
      <c r="D7" s="2">
        <f>SUMIFS(Data!$D$2:$D$277,Data!$A$2:$A$277,"Novartis",Data!$B$2:$B$277,2025,Data!$C$2:$C$277,"income_tax")</f>
        <v/>
      </c>
      <c r="E7" s="2">
        <f>SUMIFS(Data!$D$2:$D$277,Data!$A$2:$A$277,"GSK",Data!$B$2:$B$277,2023,Data!$C$2:$C$277,"income_tax")</f>
        <v/>
      </c>
      <c r="F7" s="2">
        <f>SUMIFS(Data!$D$2:$D$277,Data!$A$2:$A$277,"GSK",Data!$B$2:$B$277,2024,Data!$C$2:$C$277,"income_tax")</f>
        <v/>
      </c>
      <c r="G7" s="2">
        <f>SUMIFS(Data!$D$2:$D$277,Data!$A$2:$A$277,"GSK",Data!$B$2:$B$277,2025,Data!$C$2:$C$277,"income_tax")</f>
        <v/>
      </c>
      <c r="H7" s="2">
        <f>SUMIFS(Data!$D$2:$D$277,Data!$A$2:$A$277,"Novo Nordisk",Data!$B$2:$B$277,2023,Data!$C$2:$C$277,"income_tax")</f>
        <v/>
      </c>
      <c r="I7" s="2">
        <f>SUMIFS(Data!$D$2:$D$277,Data!$A$2:$A$277,"Novo Nordisk",Data!$B$2:$B$277,2024,Data!$C$2:$C$277,"income_tax")</f>
        <v/>
      </c>
      <c r="J7" s="2">
        <f>SUMIFS(Data!$D$2:$D$277,Data!$A$2:$A$277,"Novo Nordisk",Data!$B$2:$B$277,2025,Data!$C$2:$C$277,"income_tax")</f>
        <v/>
      </c>
    </row>
    <row r="8">
      <c r="A8" s="2" t="inlineStr">
        <is>
          <t>Income before tax</t>
        </is>
      </c>
      <c r="B8" s="2">
        <f>SUMIFS(Data!$D$2:$D$277,Data!$A$2:$A$277,"Novartis",Data!$B$2:$B$277,2023,Data!$C$2:$C$277,"pretax_income")</f>
        <v/>
      </c>
      <c r="C8" s="2">
        <f>SUMIFS(Data!$D$2:$D$277,Data!$A$2:$A$277,"Novartis",Data!$B$2:$B$277,2024,Data!$C$2:$C$277,"pretax_income")</f>
        <v/>
      </c>
      <c r="D8" s="2">
        <f>SUMIFS(Data!$D$2:$D$277,Data!$A$2:$A$277,"Novartis",Data!$B$2:$B$277,2025,Data!$C$2:$C$277,"pretax_income")</f>
        <v/>
      </c>
      <c r="E8" s="2">
        <f>SUMIFS(Data!$D$2:$D$277,Data!$A$2:$A$277,"GSK",Data!$B$2:$B$277,2023,Data!$C$2:$C$277,"pretax_income")</f>
        <v/>
      </c>
      <c r="F8" s="2">
        <f>SUMIFS(Data!$D$2:$D$277,Data!$A$2:$A$277,"GSK",Data!$B$2:$B$277,2024,Data!$C$2:$C$277,"pretax_income")</f>
        <v/>
      </c>
      <c r="G8" s="2">
        <f>SUMIFS(Data!$D$2:$D$277,Data!$A$2:$A$277,"GSK",Data!$B$2:$B$277,2025,Data!$C$2:$C$277,"pretax_income")</f>
        <v/>
      </c>
      <c r="H8" s="2">
        <f>SUMIFS(Data!$D$2:$D$277,Data!$A$2:$A$277,"Novo Nordisk",Data!$B$2:$B$277,2023,Data!$C$2:$C$277,"pretax_income")</f>
        <v/>
      </c>
      <c r="I8" s="2">
        <f>SUMIFS(Data!$D$2:$D$277,Data!$A$2:$A$277,"Novo Nordisk",Data!$B$2:$B$277,2024,Data!$C$2:$C$277,"pretax_income")</f>
        <v/>
      </c>
      <c r="J8" s="2">
        <f>SUMIFS(Data!$D$2:$D$277,Data!$A$2:$A$277,"Novo Nordisk",Data!$B$2:$B$277,2025,Data!$C$2:$C$277,"pretax_income")</f>
        <v/>
      </c>
    </row>
    <row r="9">
      <c r="A9" s="2" t="inlineStr">
        <is>
          <t>Net income (continuing operations)</t>
        </is>
      </c>
      <c r="B9" s="2">
        <f>SUMIFS(Data!$D$2:$D$277,Data!$A$2:$A$277,"Novartis",Data!$B$2:$B$277,2023,Data!$C$2:$C$277,"net_income")</f>
        <v/>
      </c>
      <c r="C9" s="2">
        <f>SUMIFS(Data!$D$2:$D$277,Data!$A$2:$A$277,"Novartis",Data!$B$2:$B$277,2024,Data!$C$2:$C$277,"net_income")</f>
        <v/>
      </c>
      <c r="D9" s="2">
        <f>SUMIFS(Data!$D$2:$D$277,Data!$A$2:$A$277,"Novartis",Data!$B$2:$B$277,2025,Data!$C$2:$C$277,"net_income")</f>
        <v/>
      </c>
      <c r="E9" s="2">
        <f>SUMIFS(Data!$D$2:$D$277,Data!$A$2:$A$277,"GSK",Data!$B$2:$B$277,2023,Data!$C$2:$C$277,"net_income")</f>
        <v/>
      </c>
      <c r="F9" s="2">
        <f>SUMIFS(Data!$D$2:$D$277,Data!$A$2:$A$277,"GSK",Data!$B$2:$B$277,2024,Data!$C$2:$C$277,"net_income")</f>
        <v/>
      </c>
      <c r="G9" s="2">
        <f>SUMIFS(Data!$D$2:$D$277,Data!$A$2:$A$277,"GSK",Data!$B$2:$B$277,2025,Data!$C$2:$C$277,"net_income")</f>
        <v/>
      </c>
      <c r="H9" s="2">
        <f>SUMIFS(Data!$D$2:$D$277,Data!$A$2:$A$277,"Novo Nordisk",Data!$B$2:$B$277,2023,Data!$C$2:$C$277,"net_income")</f>
        <v/>
      </c>
      <c r="I9" s="2">
        <f>SUMIFS(Data!$D$2:$D$277,Data!$A$2:$A$277,"Novo Nordisk",Data!$B$2:$B$277,2024,Data!$C$2:$C$277,"net_income")</f>
        <v/>
      </c>
      <c r="J9" s="2">
        <f>SUMIFS(Data!$D$2:$D$277,Data!$A$2:$A$277,"Novo Nordisk",Data!$B$2:$B$277,2025,Data!$C$2:$C$277,"net_income")</f>
        <v/>
      </c>
    </row>
    <row r="10">
      <c r="A10" s="2" t="inlineStr">
        <is>
          <t>Operating cash flow</t>
        </is>
      </c>
      <c r="B10" s="2">
        <f>SUMIFS(Data!$D$2:$D$277,Data!$A$2:$A$277,"Novartis",Data!$B$2:$B$277,2023,Data!$C$2:$C$277,"cfo")</f>
        <v/>
      </c>
      <c r="C10" s="2">
        <f>SUMIFS(Data!$D$2:$D$277,Data!$A$2:$A$277,"Novartis",Data!$B$2:$B$277,2024,Data!$C$2:$C$277,"cfo")</f>
        <v/>
      </c>
      <c r="D10" s="2">
        <f>SUMIFS(Data!$D$2:$D$277,Data!$A$2:$A$277,"Novartis",Data!$B$2:$B$277,2025,Data!$C$2:$C$277,"cfo")</f>
        <v/>
      </c>
      <c r="E10" s="2">
        <f>SUMIFS(Data!$D$2:$D$277,Data!$A$2:$A$277,"GSK",Data!$B$2:$B$277,2023,Data!$C$2:$C$277,"cfo")</f>
        <v/>
      </c>
      <c r="F10" s="2">
        <f>SUMIFS(Data!$D$2:$D$277,Data!$A$2:$A$277,"GSK",Data!$B$2:$B$277,2024,Data!$C$2:$C$277,"cfo")</f>
        <v/>
      </c>
      <c r="G10" s="2">
        <f>SUMIFS(Data!$D$2:$D$277,Data!$A$2:$A$277,"GSK",Data!$B$2:$B$277,2025,Data!$C$2:$C$277,"cfo")</f>
        <v/>
      </c>
      <c r="H10" s="2">
        <f>SUMIFS(Data!$D$2:$D$277,Data!$A$2:$A$277,"Novo Nordisk",Data!$B$2:$B$277,2023,Data!$C$2:$C$277,"cfo")</f>
        <v/>
      </c>
      <c r="I10" s="2">
        <f>SUMIFS(Data!$D$2:$D$277,Data!$A$2:$A$277,"Novo Nordisk",Data!$B$2:$B$277,2024,Data!$C$2:$C$277,"cfo")</f>
        <v/>
      </c>
      <c r="J10" s="2">
        <f>SUMIFS(Data!$D$2:$D$277,Data!$A$2:$A$277,"Novo Nordisk",Data!$B$2:$B$277,2025,Data!$C$2:$C$277,"cfo")</f>
        <v/>
      </c>
    </row>
    <row r="11">
      <c r="A11" s="2" t="inlineStr">
        <is>
          <t>Capex: property, plant and equipment</t>
        </is>
      </c>
      <c r="B11" s="2">
        <f>SUMIFS(Data!$D$2:$D$277,Data!$A$2:$A$277,"Novartis",Data!$B$2:$B$277,2023,Data!$C$2:$C$277,"capex_ppe")</f>
        <v/>
      </c>
      <c r="C11" s="2">
        <f>SUMIFS(Data!$D$2:$D$277,Data!$A$2:$A$277,"Novartis",Data!$B$2:$B$277,2024,Data!$C$2:$C$277,"capex_ppe")</f>
        <v/>
      </c>
      <c r="D11" s="2">
        <f>SUMIFS(Data!$D$2:$D$277,Data!$A$2:$A$277,"Novartis",Data!$B$2:$B$277,2025,Data!$C$2:$C$277,"capex_ppe")</f>
        <v/>
      </c>
      <c r="E11" s="2">
        <f>SUMIFS(Data!$D$2:$D$277,Data!$A$2:$A$277,"GSK",Data!$B$2:$B$277,2023,Data!$C$2:$C$277,"capex_ppe")</f>
        <v/>
      </c>
      <c r="F11" s="2">
        <f>SUMIFS(Data!$D$2:$D$277,Data!$A$2:$A$277,"GSK",Data!$B$2:$B$277,2024,Data!$C$2:$C$277,"capex_ppe")</f>
        <v/>
      </c>
      <c r="G11" s="2">
        <f>SUMIFS(Data!$D$2:$D$277,Data!$A$2:$A$277,"GSK",Data!$B$2:$B$277,2025,Data!$C$2:$C$277,"capex_ppe")</f>
        <v/>
      </c>
      <c r="H11" s="2">
        <f>SUMIFS(Data!$D$2:$D$277,Data!$A$2:$A$277,"Novo Nordisk",Data!$B$2:$B$277,2023,Data!$C$2:$C$277,"capex_ppe")</f>
        <v/>
      </c>
      <c r="I11" s="2">
        <f>SUMIFS(Data!$D$2:$D$277,Data!$A$2:$A$277,"Novo Nordisk",Data!$B$2:$B$277,2024,Data!$C$2:$C$277,"capex_ppe")</f>
        <v/>
      </c>
      <c r="J11" s="2">
        <f>SUMIFS(Data!$D$2:$D$277,Data!$A$2:$A$277,"Novo Nordisk",Data!$B$2:$B$277,2025,Data!$C$2:$C$277,"capex_ppe")</f>
        <v/>
      </c>
    </row>
    <row r="12">
      <c r="A12" s="2" t="inlineStr">
        <is>
          <t>Capex: intangible assets</t>
        </is>
      </c>
      <c r="B12" s="2">
        <f>SUMIFS(Data!$D$2:$D$277,Data!$A$2:$A$277,"Novartis",Data!$B$2:$B$277,2023,Data!$C$2:$C$277,"capex_intangibles")</f>
        <v/>
      </c>
      <c r="C12" s="2">
        <f>SUMIFS(Data!$D$2:$D$277,Data!$A$2:$A$277,"Novartis",Data!$B$2:$B$277,2024,Data!$C$2:$C$277,"capex_intangibles")</f>
        <v/>
      </c>
      <c r="D12" s="2">
        <f>SUMIFS(Data!$D$2:$D$277,Data!$A$2:$A$277,"Novartis",Data!$B$2:$B$277,2025,Data!$C$2:$C$277,"capex_intangibles")</f>
        <v/>
      </c>
      <c r="E12" s="2">
        <f>SUMIFS(Data!$D$2:$D$277,Data!$A$2:$A$277,"GSK",Data!$B$2:$B$277,2023,Data!$C$2:$C$277,"capex_intangibles")</f>
        <v/>
      </c>
      <c r="F12" s="2">
        <f>SUMIFS(Data!$D$2:$D$277,Data!$A$2:$A$277,"GSK",Data!$B$2:$B$277,2024,Data!$C$2:$C$277,"capex_intangibles")</f>
        <v/>
      </c>
      <c r="G12" s="2">
        <f>SUMIFS(Data!$D$2:$D$277,Data!$A$2:$A$277,"GSK",Data!$B$2:$B$277,2025,Data!$C$2:$C$277,"capex_intangibles")</f>
        <v/>
      </c>
      <c r="H12" s="2">
        <f>SUMIFS(Data!$D$2:$D$277,Data!$A$2:$A$277,"Novo Nordisk",Data!$B$2:$B$277,2023,Data!$C$2:$C$277,"capex_intangibles")</f>
        <v/>
      </c>
      <c r="I12" s="2">
        <f>SUMIFS(Data!$D$2:$D$277,Data!$A$2:$A$277,"Novo Nordisk",Data!$B$2:$B$277,2024,Data!$C$2:$C$277,"capex_intangibles")</f>
        <v/>
      </c>
      <c r="J12" s="2">
        <f>SUMIFS(Data!$D$2:$D$277,Data!$A$2:$A$277,"Novo Nordisk",Data!$B$2:$B$277,2025,Data!$C$2:$C$277,"capex_intangibles")</f>
        <v/>
      </c>
    </row>
    <row r="13">
      <c r="A13" s="2" t="inlineStr">
        <is>
          <t>Interest paid, if reported outside operating cash flow</t>
        </is>
      </c>
      <c r="B13" s="2">
        <f>SUMIFS(Data!$D$2:$D$277,Data!$A$2:$A$277,"Novartis",Data!$B$2:$B$277,2023,Data!$C$2:$C$277,"interest_paid_outside_cfo")</f>
        <v/>
      </c>
      <c r="C13" s="2">
        <f>SUMIFS(Data!$D$2:$D$277,Data!$A$2:$A$277,"Novartis",Data!$B$2:$B$277,2024,Data!$C$2:$C$277,"interest_paid_outside_cfo")</f>
        <v/>
      </c>
      <c r="D13" s="2">
        <f>SUMIFS(Data!$D$2:$D$277,Data!$A$2:$A$277,"Novartis",Data!$B$2:$B$277,2025,Data!$C$2:$C$277,"interest_paid_outside_cfo")</f>
        <v/>
      </c>
      <c r="E13" s="2">
        <f>SUMIFS(Data!$D$2:$D$277,Data!$A$2:$A$277,"GSK",Data!$B$2:$B$277,2023,Data!$C$2:$C$277,"interest_paid_outside_cfo")</f>
        <v/>
      </c>
      <c r="F13" s="2">
        <f>SUMIFS(Data!$D$2:$D$277,Data!$A$2:$A$277,"GSK",Data!$B$2:$B$277,2024,Data!$C$2:$C$277,"interest_paid_outside_cfo")</f>
        <v/>
      </c>
      <c r="G13" s="2">
        <f>SUMIFS(Data!$D$2:$D$277,Data!$A$2:$A$277,"GSK",Data!$B$2:$B$277,2025,Data!$C$2:$C$277,"interest_paid_outside_cfo")</f>
        <v/>
      </c>
      <c r="H13" s="2">
        <f>SUMIFS(Data!$D$2:$D$277,Data!$A$2:$A$277,"Novo Nordisk",Data!$B$2:$B$277,2023,Data!$C$2:$C$277,"interest_paid_outside_cfo")</f>
        <v/>
      </c>
      <c r="I13" s="2">
        <f>SUMIFS(Data!$D$2:$D$277,Data!$A$2:$A$277,"Novo Nordisk",Data!$B$2:$B$277,2024,Data!$C$2:$C$277,"interest_paid_outside_cfo")</f>
        <v/>
      </c>
      <c r="J13" s="2">
        <f>SUMIFS(Data!$D$2:$D$277,Data!$A$2:$A$277,"Novo Nordisk",Data!$B$2:$B$277,2025,Data!$C$2:$C$277,"interest_paid_outside_cfo")</f>
        <v/>
      </c>
    </row>
    <row r="14">
      <c r="A14" s="2" t="inlineStr">
        <is>
          <t>Interest received, if reported outside operating cash flow</t>
        </is>
      </c>
      <c r="B14" s="2">
        <f>SUMIFS(Data!$D$2:$D$277,Data!$A$2:$A$277,"Novartis",Data!$B$2:$B$277,2023,Data!$C$2:$C$277,"interest_received_outside_cfo")</f>
        <v/>
      </c>
      <c r="C14" s="2">
        <f>SUMIFS(Data!$D$2:$D$277,Data!$A$2:$A$277,"Novartis",Data!$B$2:$B$277,2024,Data!$C$2:$C$277,"interest_received_outside_cfo")</f>
        <v/>
      </c>
      <c r="D14" s="2">
        <f>SUMIFS(Data!$D$2:$D$277,Data!$A$2:$A$277,"Novartis",Data!$B$2:$B$277,2025,Data!$C$2:$C$277,"interest_received_outside_cfo")</f>
        <v/>
      </c>
      <c r="E14" s="2">
        <f>SUMIFS(Data!$D$2:$D$277,Data!$A$2:$A$277,"GSK",Data!$B$2:$B$277,2023,Data!$C$2:$C$277,"interest_received_outside_cfo")</f>
        <v/>
      </c>
      <c r="F14" s="2">
        <f>SUMIFS(Data!$D$2:$D$277,Data!$A$2:$A$277,"GSK",Data!$B$2:$B$277,2024,Data!$C$2:$C$277,"interest_received_outside_cfo")</f>
        <v/>
      </c>
      <c r="G14" s="2">
        <f>SUMIFS(Data!$D$2:$D$277,Data!$A$2:$A$277,"GSK",Data!$B$2:$B$277,2025,Data!$C$2:$C$277,"interest_received_outside_cfo")</f>
        <v/>
      </c>
      <c r="H14" s="2">
        <f>SUMIFS(Data!$D$2:$D$277,Data!$A$2:$A$277,"Novo Nordisk",Data!$B$2:$B$277,2023,Data!$C$2:$C$277,"interest_received_outside_cfo")</f>
        <v/>
      </c>
      <c r="I14" s="2">
        <f>SUMIFS(Data!$D$2:$D$277,Data!$A$2:$A$277,"Novo Nordisk",Data!$B$2:$B$277,2024,Data!$C$2:$C$277,"interest_received_outside_cfo")</f>
        <v/>
      </c>
      <c r="J14" s="2">
        <f>SUMIFS(Data!$D$2:$D$277,Data!$A$2:$A$277,"Novo Nordisk",Data!$B$2:$B$277,2025,Data!$C$2:$C$277,"interest_received_outside_cfo")</f>
        <v/>
      </c>
    </row>
    <row r="15">
      <c r="A15" s="2" t="inlineStr">
        <is>
          <t>Borrowings: current</t>
        </is>
      </c>
      <c r="B15" s="2">
        <f>SUMIFS(Data!$D$2:$D$277,Data!$A$2:$A$277,"Novartis",Data!$B$2:$B$277,2023,Data!$C$2:$C$277,"debt_current")</f>
        <v/>
      </c>
      <c r="C15" s="2">
        <f>SUMIFS(Data!$D$2:$D$277,Data!$A$2:$A$277,"Novartis",Data!$B$2:$B$277,2024,Data!$C$2:$C$277,"debt_current")</f>
        <v/>
      </c>
      <c r="D15" s="2">
        <f>SUMIFS(Data!$D$2:$D$277,Data!$A$2:$A$277,"Novartis",Data!$B$2:$B$277,2025,Data!$C$2:$C$277,"debt_current")</f>
        <v/>
      </c>
      <c r="E15" s="2">
        <f>SUMIFS(Data!$D$2:$D$277,Data!$A$2:$A$277,"GSK",Data!$B$2:$B$277,2023,Data!$C$2:$C$277,"debt_current")</f>
        <v/>
      </c>
      <c r="F15" s="2">
        <f>SUMIFS(Data!$D$2:$D$277,Data!$A$2:$A$277,"GSK",Data!$B$2:$B$277,2024,Data!$C$2:$C$277,"debt_current")</f>
        <v/>
      </c>
      <c r="G15" s="2">
        <f>SUMIFS(Data!$D$2:$D$277,Data!$A$2:$A$277,"GSK",Data!$B$2:$B$277,2025,Data!$C$2:$C$277,"debt_current")</f>
        <v/>
      </c>
      <c r="H15" s="2">
        <f>SUMIFS(Data!$D$2:$D$277,Data!$A$2:$A$277,"Novo Nordisk",Data!$B$2:$B$277,2023,Data!$C$2:$C$277,"debt_current")</f>
        <v/>
      </c>
      <c r="I15" s="2">
        <f>SUMIFS(Data!$D$2:$D$277,Data!$A$2:$A$277,"Novo Nordisk",Data!$B$2:$B$277,2024,Data!$C$2:$C$277,"debt_current")</f>
        <v/>
      </c>
      <c r="J15" s="2">
        <f>SUMIFS(Data!$D$2:$D$277,Data!$A$2:$A$277,"Novo Nordisk",Data!$B$2:$B$277,2025,Data!$C$2:$C$277,"debt_current")</f>
        <v/>
      </c>
    </row>
    <row r="16">
      <c r="A16" s="2" t="inlineStr">
        <is>
          <t>Borrowings: non-current</t>
        </is>
      </c>
      <c r="B16" s="2">
        <f>SUMIFS(Data!$D$2:$D$277,Data!$A$2:$A$277,"Novartis",Data!$B$2:$B$277,2023,Data!$C$2:$C$277,"debt_noncurrent")</f>
        <v/>
      </c>
      <c r="C16" s="2">
        <f>SUMIFS(Data!$D$2:$D$277,Data!$A$2:$A$277,"Novartis",Data!$B$2:$B$277,2024,Data!$C$2:$C$277,"debt_noncurrent")</f>
        <v/>
      </c>
      <c r="D16" s="2">
        <f>SUMIFS(Data!$D$2:$D$277,Data!$A$2:$A$277,"Novartis",Data!$B$2:$B$277,2025,Data!$C$2:$C$277,"debt_noncurrent")</f>
        <v/>
      </c>
      <c r="E16" s="2">
        <f>SUMIFS(Data!$D$2:$D$277,Data!$A$2:$A$277,"GSK",Data!$B$2:$B$277,2023,Data!$C$2:$C$277,"debt_noncurrent")</f>
        <v/>
      </c>
      <c r="F16" s="2">
        <f>SUMIFS(Data!$D$2:$D$277,Data!$A$2:$A$277,"GSK",Data!$B$2:$B$277,2024,Data!$C$2:$C$277,"debt_noncurrent")</f>
        <v/>
      </c>
      <c r="G16" s="2">
        <f>SUMIFS(Data!$D$2:$D$277,Data!$A$2:$A$277,"GSK",Data!$B$2:$B$277,2025,Data!$C$2:$C$277,"debt_noncurrent")</f>
        <v/>
      </c>
      <c r="H16" s="2">
        <f>SUMIFS(Data!$D$2:$D$277,Data!$A$2:$A$277,"Novo Nordisk",Data!$B$2:$B$277,2023,Data!$C$2:$C$277,"debt_noncurrent")</f>
        <v/>
      </c>
      <c r="I16" s="2">
        <f>SUMIFS(Data!$D$2:$D$277,Data!$A$2:$A$277,"Novo Nordisk",Data!$B$2:$B$277,2024,Data!$C$2:$C$277,"debt_noncurrent")</f>
        <v/>
      </c>
      <c r="J16" s="2">
        <f>SUMIFS(Data!$D$2:$D$277,Data!$A$2:$A$277,"Novo Nordisk",Data!$B$2:$B$277,2025,Data!$C$2:$C$277,"debt_noncurrent")</f>
        <v/>
      </c>
    </row>
    <row r="17">
      <c r="A17" s="2" t="inlineStr">
        <is>
          <t>Lease liabilities: current (if separate)</t>
        </is>
      </c>
      <c r="B17" s="2">
        <f>SUMIFS(Data!$D$2:$D$277,Data!$A$2:$A$277,"Novartis",Data!$B$2:$B$277,2023,Data!$C$2:$C$277,"lease_current")</f>
        <v/>
      </c>
      <c r="C17" s="2">
        <f>SUMIFS(Data!$D$2:$D$277,Data!$A$2:$A$277,"Novartis",Data!$B$2:$B$277,2024,Data!$C$2:$C$277,"lease_current")</f>
        <v/>
      </c>
      <c r="D17" s="2">
        <f>SUMIFS(Data!$D$2:$D$277,Data!$A$2:$A$277,"Novartis",Data!$B$2:$B$277,2025,Data!$C$2:$C$277,"lease_current")</f>
        <v/>
      </c>
      <c r="E17" s="2">
        <f>SUMIFS(Data!$D$2:$D$277,Data!$A$2:$A$277,"GSK",Data!$B$2:$B$277,2023,Data!$C$2:$C$277,"lease_current")</f>
        <v/>
      </c>
      <c r="F17" s="2">
        <f>SUMIFS(Data!$D$2:$D$277,Data!$A$2:$A$277,"GSK",Data!$B$2:$B$277,2024,Data!$C$2:$C$277,"lease_current")</f>
        <v/>
      </c>
      <c r="G17" s="2">
        <f>SUMIFS(Data!$D$2:$D$277,Data!$A$2:$A$277,"GSK",Data!$B$2:$B$277,2025,Data!$C$2:$C$277,"lease_current")</f>
        <v/>
      </c>
      <c r="H17" s="2">
        <f>SUMIFS(Data!$D$2:$D$277,Data!$A$2:$A$277,"Novo Nordisk",Data!$B$2:$B$277,2023,Data!$C$2:$C$277,"lease_current")</f>
        <v/>
      </c>
      <c r="I17" s="2">
        <f>SUMIFS(Data!$D$2:$D$277,Data!$A$2:$A$277,"Novo Nordisk",Data!$B$2:$B$277,2024,Data!$C$2:$C$277,"lease_current")</f>
        <v/>
      </c>
      <c r="J17" s="2">
        <f>SUMIFS(Data!$D$2:$D$277,Data!$A$2:$A$277,"Novo Nordisk",Data!$B$2:$B$277,2025,Data!$C$2:$C$277,"lease_current")</f>
        <v/>
      </c>
    </row>
    <row r="18">
      <c r="A18" s="2" t="inlineStr">
        <is>
          <t>Lease liabilities: non-current (if separate)</t>
        </is>
      </c>
      <c r="B18" s="2">
        <f>SUMIFS(Data!$D$2:$D$277,Data!$A$2:$A$277,"Novartis",Data!$B$2:$B$277,2023,Data!$C$2:$C$277,"lease_noncurrent")</f>
        <v/>
      </c>
      <c r="C18" s="2">
        <f>SUMIFS(Data!$D$2:$D$277,Data!$A$2:$A$277,"Novartis",Data!$B$2:$B$277,2024,Data!$C$2:$C$277,"lease_noncurrent")</f>
        <v/>
      </c>
      <c r="D18" s="2">
        <f>SUMIFS(Data!$D$2:$D$277,Data!$A$2:$A$277,"Novartis",Data!$B$2:$B$277,2025,Data!$C$2:$C$277,"lease_noncurrent")</f>
        <v/>
      </c>
      <c r="E18" s="2">
        <f>SUMIFS(Data!$D$2:$D$277,Data!$A$2:$A$277,"GSK",Data!$B$2:$B$277,2023,Data!$C$2:$C$277,"lease_noncurrent")</f>
        <v/>
      </c>
      <c r="F18" s="2">
        <f>SUMIFS(Data!$D$2:$D$277,Data!$A$2:$A$277,"GSK",Data!$B$2:$B$277,2024,Data!$C$2:$C$277,"lease_noncurrent")</f>
        <v/>
      </c>
      <c r="G18" s="2">
        <f>SUMIFS(Data!$D$2:$D$277,Data!$A$2:$A$277,"GSK",Data!$B$2:$B$277,2025,Data!$C$2:$C$277,"lease_noncurrent")</f>
        <v/>
      </c>
      <c r="H18" s="2">
        <f>SUMIFS(Data!$D$2:$D$277,Data!$A$2:$A$277,"Novo Nordisk",Data!$B$2:$B$277,2023,Data!$C$2:$C$277,"lease_noncurrent")</f>
        <v/>
      </c>
      <c r="I18" s="2">
        <f>SUMIFS(Data!$D$2:$D$277,Data!$A$2:$A$277,"Novo Nordisk",Data!$B$2:$B$277,2024,Data!$C$2:$C$277,"lease_noncurrent")</f>
        <v/>
      </c>
      <c r="J18" s="2">
        <f>SUMIFS(Data!$D$2:$D$277,Data!$A$2:$A$277,"Novo Nordisk",Data!$B$2:$B$277,2025,Data!$C$2:$C$277,"lease_noncurrent")</f>
        <v/>
      </c>
    </row>
    <row r="19">
      <c r="A19" s="2" t="inlineStr">
        <is>
          <t>Contingent consideration: current (debt-like)</t>
        </is>
      </c>
      <c r="B19" s="2">
        <f>SUMIFS(Data!$D$2:$D$277,Data!$A$2:$A$277,"Novartis",Data!$B$2:$B$277,2023,Data!$C$2:$C$277,"contingent_consideration_current")</f>
        <v/>
      </c>
      <c r="C19" s="2">
        <f>SUMIFS(Data!$D$2:$D$277,Data!$A$2:$A$277,"Novartis",Data!$B$2:$B$277,2024,Data!$C$2:$C$277,"contingent_consideration_current")</f>
        <v/>
      </c>
      <c r="D19" s="2">
        <f>SUMIFS(Data!$D$2:$D$277,Data!$A$2:$A$277,"Novartis",Data!$B$2:$B$277,2025,Data!$C$2:$C$277,"contingent_consideration_current")</f>
        <v/>
      </c>
      <c r="E19" s="2">
        <f>SUMIFS(Data!$D$2:$D$277,Data!$A$2:$A$277,"GSK",Data!$B$2:$B$277,2023,Data!$C$2:$C$277,"contingent_consideration_current")</f>
        <v/>
      </c>
      <c r="F19" s="2">
        <f>SUMIFS(Data!$D$2:$D$277,Data!$A$2:$A$277,"GSK",Data!$B$2:$B$277,2024,Data!$C$2:$C$277,"contingent_consideration_current")</f>
        <v/>
      </c>
      <c r="G19" s="2">
        <f>SUMIFS(Data!$D$2:$D$277,Data!$A$2:$A$277,"GSK",Data!$B$2:$B$277,2025,Data!$C$2:$C$277,"contingent_consideration_current")</f>
        <v/>
      </c>
      <c r="H19" s="2">
        <f>SUMIFS(Data!$D$2:$D$277,Data!$A$2:$A$277,"Novo Nordisk",Data!$B$2:$B$277,2023,Data!$C$2:$C$277,"contingent_consideration_current")</f>
        <v/>
      </c>
      <c r="I19" s="2">
        <f>SUMIFS(Data!$D$2:$D$277,Data!$A$2:$A$277,"Novo Nordisk",Data!$B$2:$B$277,2024,Data!$C$2:$C$277,"contingent_consideration_current")</f>
        <v/>
      </c>
      <c r="J19" s="2">
        <f>SUMIFS(Data!$D$2:$D$277,Data!$A$2:$A$277,"Novo Nordisk",Data!$B$2:$B$277,2025,Data!$C$2:$C$277,"contingent_consideration_current")</f>
        <v/>
      </c>
    </row>
    <row r="20">
      <c r="A20" s="2" t="inlineStr">
        <is>
          <t>Contingent consideration: non-current (debt-like)</t>
        </is>
      </c>
      <c r="B20" s="2">
        <f>SUMIFS(Data!$D$2:$D$277,Data!$A$2:$A$277,"Novartis",Data!$B$2:$B$277,2023,Data!$C$2:$C$277,"contingent_consideration_noncurrent")</f>
        <v/>
      </c>
      <c r="C20" s="2">
        <f>SUMIFS(Data!$D$2:$D$277,Data!$A$2:$A$277,"Novartis",Data!$B$2:$B$277,2024,Data!$C$2:$C$277,"contingent_consideration_noncurrent")</f>
        <v/>
      </c>
      <c r="D20" s="2">
        <f>SUMIFS(Data!$D$2:$D$277,Data!$A$2:$A$277,"Novartis",Data!$B$2:$B$277,2025,Data!$C$2:$C$277,"contingent_consideration_noncurrent")</f>
        <v/>
      </c>
      <c r="E20" s="2">
        <f>SUMIFS(Data!$D$2:$D$277,Data!$A$2:$A$277,"GSK",Data!$B$2:$B$277,2023,Data!$C$2:$C$277,"contingent_consideration_noncurrent")</f>
        <v/>
      </c>
      <c r="F20" s="2">
        <f>SUMIFS(Data!$D$2:$D$277,Data!$A$2:$A$277,"GSK",Data!$B$2:$B$277,2024,Data!$C$2:$C$277,"contingent_consideration_noncurrent")</f>
        <v/>
      </c>
      <c r="G20" s="2">
        <f>SUMIFS(Data!$D$2:$D$277,Data!$A$2:$A$277,"GSK",Data!$B$2:$B$277,2025,Data!$C$2:$C$277,"contingent_consideration_noncurrent")</f>
        <v/>
      </c>
      <c r="H20" s="2">
        <f>SUMIFS(Data!$D$2:$D$277,Data!$A$2:$A$277,"Novo Nordisk",Data!$B$2:$B$277,2023,Data!$C$2:$C$277,"contingent_consideration_noncurrent")</f>
        <v/>
      </c>
      <c r="I20" s="2">
        <f>SUMIFS(Data!$D$2:$D$277,Data!$A$2:$A$277,"Novo Nordisk",Data!$B$2:$B$277,2024,Data!$C$2:$C$277,"contingent_consideration_noncurrent")</f>
        <v/>
      </c>
      <c r="J20" s="2">
        <f>SUMIFS(Data!$D$2:$D$277,Data!$A$2:$A$277,"Novo Nordisk",Data!$B$2:$B$277,2025,Data!$C$2:$C$277,"contingent_consideration_noncurrent")</f>
        <v/>
      </c>
    </row>
    <row r="21">
      <c r="A21" s="2" t="inlineStr">
        <is>
          <t>Cash and cash equivalents</t>
        </is>
      </c>
      <c r="B21" s="2">
        <f>SUMIFS(Data!$D$2:$D$277,Data!$A$2:$A$277,"Novartis",Data!$B$2:$B$277,2023,Data!$C$2:$C$277,"cash")</f>
        <v/>
      </c>
      <c r="C21" s="2">
        <f>SUMIFS(Data!$D$2:$D$277,Data!$A$2:$A$277,"Novartis",Data!$B$2:$B$277,2024,Data!$C$2:$C$277,"cash")</f>
        <v/>
      </c>
      <c r="D21" s="2">
        <f>SUMIFS(Data!$D$2:$D$277,Data!$A$2:$A$277,"Novartis",Data!$B$2:$B$277,2025,Data!$C$2:$C$277,"cash")</f>
        <v/>
      </c>
      <c r="E21" s="2">
        <f>SUMIFS(Data!$D$2:$D$277,Data!$A$2:$A$277,"GSK",Data!$B$2:$B$277,2023,Data!$C$2:$C$277,"cash")</f>
        <v/>
      </c>
      <c r="F21" s="2">
        <f>SUMIFS(Data!$D$2:$D$277,Data!$A$2:$A$277,"GSK",Data!$B$2:$B$277,2024,Data!$C$2:$C$277,"cash")</f>
        <v/>
      </c>
      <c r="G21" s="2">
        <f>SUMIFS(Data!$D$2:$D$277,Data!$A$2:$A$277,"GSK",Data!$B$2:$B$277,2025,Data!$C$2:$C$277,"cash")</f>
        <v/>
      </c>
      <c r="H21" s="2">
        <f>SUMIFS(Data!$D$2:$D$277,Data!$A$2:$A$277,"Novo Nordisk",Data!$B$2:$B$277,2023,Data!$C$2:$C$277,"cash")</f>
        <v/>
      </c>
      <c r="I21" s="2">
        <f>SUMIFS(Data!$D$2:$D$277,Data!$A$2:$A$277,"Novo Nordisk",Data!$B$2:$B$277,2024,Data!$C$2:$C$277,"cash")</f>
        <v/>
      </c>
      <c r="J21" s="2">
        <f>SUMIFS(Data!$D$2:$D$277,Data!$A$2:$A$277,"Novo Nordisk",Data!$B$2:$B$277,2025,Data!$C$2:$C$277,"cash")</f>
        <v/>
      </c>
    </row>
    <row r="22">
      <c r="A22" s="2" t="inlineStr">
        <is>
          <t>Marketable securities and short-term investments</t>
        </is>
      </c>
      <c r="B22" s="2">
        <f>SUMIFS(Data!$D$2:$D$277,Data!$A$2:$A$277,"Novartis",Data!$B$2:$B$277,2023,Data!$C$2:$C$277,"short_term_investments")</f>
        <v/>
      </c>
      <c r="C22" s="2">
        <f>SUMIFS(Data!$D$2:$D$277,Data!$A$2:$A$277,"Novartis",Data!$B$2:$B$277,2024,Data!$C$2:$C$277,"short_term_investments")</f>
        <v/>
      </c>
      <c r="D22" s="2">
        <f>SUMIFS(Data!$D$2:$D$277,Data!$A$2:$A$277,"Novartis",Data!$B$2:$B$277,2025,Data!$C$2:$C$277,"short_term_investments")</f>
        <v/>
      </c>
      <c r="E22" s="2">
        <f>SUMIFS(Data!$D$2:$D$277,Data!$A$2:$A$277,"GSK",Data!$B$2:$B$277,2023,Data!$C$2:$C$277,"short_term_investments")</f>
        <v/>
      </c>
      <c r="F22" s="2">
        <f>SUMIFS(Data!$D$2:$D$277,Data!$A$2:$A$277,"GSK",Data!$B$2:$B$277,2024,Data!$C$2:$C$277,"short_term_investments")</f>
        <v/>
      </c>
      <c r="G22" s="2">
        <f>SUMIFS(Data!$D$2:$D$277,Data!$A$2:$A$277,"GSK",Data!$B$2:$B$277,2025,Data!$C$2:$C$277,"short_term_investments")</f>
        <v/>
      </c>
      <c r="H22" s="2">
        <f>SUMIFS(Data!$D$2:$D$277,Data!$A$2:$A$277,"Novo Nordisk",Data!$B$2:$B$277,2023,Data!$C$2:$C$277,"short_term_investments")</f>
        <v/>
      </c>
      <c r="I22" s="2">
        <f>SUMIFS(Data!$D$2:$D$277,Data!$A$2:$A$277,"Novo Nordisk",Data!$B$2:$B$277,2024,Data!$C$2:$C$277,"short_term_investments")</f>
        <v/>
      </c>
      <c r="J22" s="2">
        <f>SUMIFS(Data!$D$2:$D$277,Data!$A$2:$A$277,"Novo Nordisk",Data!$B$2:$B$277,2025,Data!$C$2:$C$277,"short_term_investments")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Revenue growth</t>
        </is>
      </c>
      <c r="B24" s="5">
        <f>""</f>
        <v/>
      </c>
      <c r="C24" s="5">
        <f>IF(ISNUMBER(B4),C4/B4-1,"")</f>
        <v/>
      </c>
      <c r="D24" s="5">
        <f>IF(ISNUMBER(C4),D4/C4-1,"")</f>
        <v/>
      </c>
      <c r="E24" s="5">
        <f>""</f>
        <v/>
      </c>
      <c r="F24" s="5">
        <f>IF(ISNUMBER(E4),F4/E4-1,"")</f>
        <v/>
      </c>
      <c r="G24" s="5">
        <f>IF(ISNUMBER(F4),G4/F4-1,"")</f>
        <v/>
      </c>
      <c r="H24" s="5">
        <f>""</f>
        <v/>
      </c>
      <c r="I24" s="5">
        <f>IF(ISNUMBER(H4),I4/H4-1,"")</f>
        <v/>
      </c>
      <c r="J24" s="5">
        <f>IF(ISNUMBER(I4),J4/I4-1,"")</f>
        <v/>
      </c>
    </row>
    <row r="25">
      <c r="A25" s="2" t="inlineStr">
        <is>
          <t>Operating margin</t>
        </is>
      </c>
      <c r="B25" s="5">
        <f>B5/B4</f>
        <v/>
      </c>
      <c r="C25" s="5">
        <f>C5/C4</f>
        <v/>
      </c>
      <c r="D25" s="5">
        <f>D5/D4</f>
        <v/>
      </c>
      <c r="E25" s="5">
        <f>E5/E4</f>
        <v/>
      </c>
      <c r="F25" s="5">
        <f>F5/F4</f>
        <v/>
      </c>
      <c r="G25" s="5">
        <f>G5/G4</f>
        <v/>
      </c>
      <c r="H25" s="5">
        <f>H5/H4</f>
        <v/>
      </c>
      <c r="I25" s="5">
        <f>I5/I4</f>
        <v/>
      </c>
      <c r="J25" s="5">
        <f>J5/J4</f>
        <v/>
      </c>
    </row>
    <row r="26">
      <c r="A26" s="2" t="inlineStr">
        <is>
          <t>R&amp;D as % of revenue</t>
        </is>
      </c>
      <c r="B26" s="5">
        <f>B6/B4</f>
        <v/>
      </c>
      <c r="C26" s="5">
        <f>C6/C4</f>
        <v/>
      </c>
      <c r="D26" s="5">
        <f>D6/D4</f>
        <v/>
      </c>
      <c r="E26" s="5">
        <f>E6/E4</f>
        <v/>
      </c>
      <c r="F26" s="5">
        <f>F6/F4</f>
        <v/>
      </c>
      <c r="G26" s="5">
        <f>G6/G4</f>
        <v/>
      </c>
      <c r="H26" s="5">
        <f>H6/H4</f>
        <v/>
      </c>
      <c r="I26" s="5">
        <f>I6/I4</f>
        <v/>
      </c>
      <c r="J26" s="5">
        <f>J6/J4</f>
        <v/>
      </c>
    </row>
    <row r="27">
      <c r="A27" s="2" t="inlineStr">
        <is>
          <t>Effective tax rate</t>
        </is>
      </c>
      <c r="B27" s="5">
        <f>B7/B8</f>
        <v/>
      </c>
      <c r="C27" s="5">
        <f>C7/C8</f>
        <v/>
      </c>
      <c r="D27" s="5">
        <f>D7/D8</f>
        <v/>
      </c>
      <c r="E27" s="5">
        <f>E7/E8</f>
        <v/>
      </c>
      <c r="F27" s="5">
        <f>F7/F8</f>
        <v/>
      </c>
      <c r="G27" s="5">
        <f>G7/G8</f>
        <v/>
      </c>
      <c r="H27" s="5">
        <f>H7/H8</f>
        <v/>
      </c>
      <c r="I27" s="5">
        <f>I7/I8</f>
        <v/>
      </c>
      <c r="J27" s="5">
        <f>J7/J8</f>
        <v/>
      </c>
    </row>
    <row r="28">
      <c r="A28" s="2" t="inlineStr">
        <is>
          <t>Net margin</t>
        </is>
      </c>
      <c r="B28" s="5">
        <f>B9/B4</f>
        <v/>
      </c>
      <c r="C28" s="5">
        <f>C9/C4</f>
        <v/>
      </c>
      <c r="D28" s="5">
        <f>D9/D4</f>
        <v/>
      </c>
      <c r="E28" s="5">
        <f>E9/E4</f>
        <v/>
      </c>
      <c r="F28" s="5">
        <f>F9/F4</f>
        <v/>
      </c>
      <c r="G28" s="5">
        <f>G9/G4</f>
        <v/>
      </c>
      <c r="H28" s="5">
        <f>H9/H4</f>
        <v/>
      </c>
      <c r="I28" s="5">
        <f>I9/I4</f>
        <v/>
      </c>
      <c r="J28" s="5">
        <f>J9/J4</f>
        <v/>
      </c>
    </row>
    <row r="29">
      <c r="A29" s="2" t="inlineStr">
        <is>
          <t>Free cash flow (after tax and net interest; before leases, acquisitions, dividends)</t>
        </is>
      </c>
      <c r="B29" s="2">
        <f>B10-B11-B12-B13+B14</f>
        <v/>
      </c>
      <c r="C29" s="2">
        <f>C10-C11-C12-C13+C14</f>
        <v/>
      </c>
      <c r="D29" s="2">
        <f>D10-D11-D12-D13+D14</f>
        <v/>
      </c>
      <c r="E29" s="2">
        <f>E10-E11-E12-E13+E14</f>
        <v/>
      </c>
      <c r="F29" s="2">
        <f>F10-F11-F12-F13+F14</f>
        <v/>
      </c>
      <c r="G29" s="2">
        <f>G10-G11-G12-G13+G14</f>
        <v/>
      </c>
      <c r="H29" s="2">
        <f>H10-H11-H12-H13+H14</f>
        <v/>
      </c>
      <c r="I29" s="2">
        <f>I10-I11-I12-I13+I14</f>
        <v/>
      </c>
      <c r="J29" s="2">
        <f>J10-J11-J12-J13+J14</f>
        <v/>
      </c>
    </row>
    <row r="30">
      <c r="A30" s="2" t="inlineStr">
        <is>
          <t>Free cash flow margin</t>
        </is>
      </c>
      <c r="B30" s="5">
        <f>B29/B4</f>
        <v/>
      </c>
      <c r="C30" s="5">
        <f>C29/C4</f>
        <v/>
      </c>
      <c r="D30" s="5">
        <f>D29/D4</f>
        <v/>
      </c>
      <c r="E30" s="5">
        <f>E29/E4</f>
        <v/>
      </c>
      <c r="F30" s="5">
        <f>F29/F4</f>
        <v/>
      </c>
      <c r="G30" s="5">
        <f>G29/G4</f>
        <v/>
      </c>
      <c r="H30" s="5">
        <f>H29/H4</f>
        <v/>
      </c>
      <c r="I30" s="5">
        <f>I29/I4</f>
        <v/>
      </c>
      <c r="J30" s="5">
        <f>J29/J4</f>
        <v/>
      </c>
    </row>
    <row r="31">
      <c r="A31" s="2" t="inlineStr">
        <is>
          <t>Free cash flow / net income</t>
        </is>
      </c>
      <c r="B31" s="6">
        <f>B29/B9</f>
        <v/>
      </c>
      <c r="C31" s="6">
        <f>C29/C9</f>
        <v/>
      </c>
      <c r="D31" s="6">
        <f>D29/D9</f>
        <v/>
      </c>
      <c r="E31" s="6">
        <f>E29/E9</f>
        <v/>
      </c>
      <c r="F31" s="6">
        <f>F29/F9</f>
        <v/>
      </c>
      <c r="G31" s="6">
        <f>G29/G9</f>
        <v/>
      </c>
      <c r="H31" s="6">
        <f>H29/H9</f>
        <v/>
      </c>
      <c r="I31" s="6">
        <f>I29/I9</f>
        <v/>
      </c>
      <c r="J31" s="6">
        <f>J29/J9</f>
        <v/>
      </c>
    </row>
    <row r="32">
      <c r="A32" s="2" t="inlineStr">
        <is>
          <t>Gross debt incl. leases</t>
        </is>
      </c>
      <c r="B32" s="2">
        <f>B15+B16+B17+B18</f>
        <v/>
      </c>
      <c r="C32" s="2">
        <f>C15+C16+C17+C18</f>
        <v/>
      </c>
      <c r="D32" s="2">
        <f>D15+D16+D17+D18</f>
        <v/>
      </c>
      <c r="E32" s="2">
        <f>E15+E16+E17+E18</f>
        <v/>
      </c>
      <c r="F32" s="2">
        <f>F15+F16+F17+F18</f>
        <v/>
      </c>
      <c r="G32" s="2">
        <f>G15+G16+G17+G18</f>
        <v/>
      </c>
      <c r="H32" s="2">
        <f>H15+H16+H17+H18</f>
        <v/>
      </c>
      <c r="I32" s="2">
        <f>I15+I16+I17+I18</f>
        <v/>
      </c>
      <c r="J32" s="2">
        <f>J15+J16+J17+J18</f>
        <v/>
      </c>
    </row>
    <row r="33">
      <c r="A33" s="2" t="inlineStr">
        <is>
          <t>Net debt incl. debt-like contingent consideration</t>
        </is>
      </c>
      <c r="B33" s="2">
        <f>B32+B19+B20-B21-B22</f>
        <v/>
      </c>
      <c r="C33" s="2">
        <f>C32+C19+C20-C21-C22</f>
        <v/>
      </c>
      <c r="D33" s="2">
        <f>D32+D19+D20-D21-D22</f>
        <v/>
      </c>
      <c r="E33" s="2">
        <f>E32+E19+E20-E21-E22</f>
        <v/>
      </c>
      <c r="F33" s="2">
        <f>F32+F19+F20-F21-F22</f>
        <v/>
      </c>
      <c r="G33" s="2">
        <f>G32+G19+G20-G21-G22</f>
        <v/>
      </c>
      <c r="H33" s="2">
        <f>H32+H19+H20-H21-H22</f>
        <v/>
      </c>
      <c r="I33" s="2">
        <f>I32+I19+I20-I21-I22</f>
        <v/>
      </c>
      <c r="J33" s="2">
        <f>J32+J19+J20-J21-J22</f>
        <v/>
      </c>
    </row>
    <row r="34">
      <c r="A34" s="2" t="inlineStr">
        <is>
          <t>Net debt / operating income</t>
        </is>
      </c>
      <c r="B34" s="6">
        <f>B33/B5</f>
        <v/>
      </c>
      <c r="C34" s="6">
        <f>C33/C5</f>
        <v/>
      </c>
      <c r="D34" s="6">
        <f>D33/D5</f>
        <v/>
      </c>
      <c r="E34" s="6">
        <f>E33/E5</f>
        <v/>
      </c>
      <c r="F34" s="6">
        <f>F33/F5</f>
        <v/>
      </c>
      <c r="G34" s="6">
        <f>G33/G5</f>
        <v/>
      </c>
      <c r="H34" s="6">
        <f>H33/H5</f>
        <v/>
      </c>
      <c r="I34" s="6">
        <f>I33/I5</f>
        <v/>
      </c>
      <c r="J34" s="6">
        <f>J33/J5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8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Novartis DCF (USD millions unless stated)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Base revenue (FY2025 net sales)</t>
        </is>
      </c>
      <c r="B3" s="2">
        <f>SUMIFS(Data!$D$2:$D$277,Data!$A$2:$A$277,"Novartis",Data!$B$2:$B$277,2025,Data!$C$2:$C$277,"revenue")</f>
        <v/>
      </c>
      <c r="C3" s="2" t="n"/>
      <c r="D3" s="2" t="n"/>
      <c r="E3" s="2" t="n"/>
      <c r="F3" s="2" t="n"/>
      <c r="G3" s="2" t="n"/>
    </row>
    <row r="4">
      <c r="A4" s="2" t="inlineStr">
        <is>
          <t>Base net working capital (inventories + trade receivables - trade payables)</t>
        </is>
      </c>
      <c r="B4" s="2">
        <f>SUMIFS(Data!$D$2:$D$277,Data!$A$2:$A$277,"Novartis",Data!$B$2:$B$277,2025,Data!$C$2:$C$277,"inventories")+SUMIFS(Data!$D$2:$D$277,Data!$A$2:$A$277,"Novartis",Data!$B$2:$B$277,2025,Data!$C$2:$C$277,"receivables")-SUMIFS(Data!$D$2:$D$277,Data!$A$2:$A$277,"Novartis",Data!$B$2:$B$277,2025,Data!$C$2:$C$277,"payables")</f>
        <v/>
      </c>
      <c r="C4" s="2" t="n"/>
      <c r="D4" s="2" t="n"/>
      <c r="E4" s="2" t="n"/>
      <c r="F4" s="2" t="n"/>
      <c r="G4" s="2" t="n"/>
    </row>
    <row r="5">
      <c r="A5" s="2" t="inlineStr">
        <is>
          <t>Tax rate (assumption)</t>
        </is>
      </c>
      <c r="B5" s="7" t="n">
        <v>0.16</v>
      </c>
      <c r="C5" s="2" t="n"/>
      <c r="D5" s="2" t="n"/>
      <c r="E5" s="2" t="n"/>
      <c r="F5" s="2" t="n"/>
      <c r="G5" s="2" t="n"/>
    </row>
    <row r="6">
      <c r="A6" s="2" t="inlineStr">
        <is>
          <t>D&amp;A as % of revenue (FY2025 depreciation + amortisation; excludes impairments)</t>
        </is>
      </c>
      <c r="B6" s="8">
        <f>(SUMIFS(Data!$D$2:$D$277,Data!$A$2:$A$277,"Novartis",Data!$B$2:$B$277,2025,Data!$C$2:$C$277,"depreciation_ppe")+SUMIFS(Data!$D$2:$D$277,Data!$A$2:$A$277,"Novartis",Data!$B$2:$B$277,2025,Data!$C$2:$C$277,"amortisation_intangibles"))/B3</f>
        <v/>
      </c>
      <c r="C6" s="2" t="n"/>
      <c r="D6" s="2" t="n"/>
      <c r="E6" s="2" t="n"/>
      <c r="F6" s="2" t="n"/>
      <c r="G6" s="2" t="n"/>
    </row>
    <row r="7">
      <c r="A7" s="2" t="inlineStr">
        <is>
          <t>Capex as % of revenue (FY2025 PP&amp;E + intangibles)</t>
        </is>
      </c>
      <c r="B7" s="8">
        <f>(SUMIFS(Data!$D$2:$D$277,Data!$A$2:$A$277,"Novartis",Data!$B$2:$B$277,2025,Data!$C$2:$C$277,"capex_ppe")+SUMIFS(Data!$D$2:$D$277,Data!$A$2:$A$277,"Novartis",Data!$B$2:$B$277,2025,Data!$C$2:$C$277,"capex_intangibles"))/B3</f>
        <v/>
      </c>
      <c r="C7" s="2" t="n"/>
      <c r="D7" s="2" t="n"/>
      <c r="E7" s="2" t="n"/>
      <c r="F7" s="2" t="n"/>
      <c r="G7" s="2" t="n"/>
    </row>
    <row r="8">
      <c r="A8" s="2" t="inlineStr">
        <is>
          <t>Net working capital as % of revenue (held constant)</t>
        </is>
      </c>
      <c r="B8" s="8">
        <f>B4/B3</f>
        <v/>
      </c>
      <c r="C8" s="2" t="n"/>
      <c r="D8" s="2" t="n"/>
      <c r="E8" s="2" t="n"/>
      <c r="F8" s="2" t="n"/>
      <c r="G8" s="2" t="n"/>
    </row>
    <row r="9">
      <c r="A9" s="2" t="inlineStr">
        <is>
          <t>Terminal growth (assumption)</t>
        </is>
      </c>
      <c r="B9" s="9" t="n">
        <v>0.02</v>
      </c>
      <c r="C9" s="2" t="n"/>
      <c r="D9" s="2" t="n"/>
      <c r="E9" s="2" t="n"/>
      <c r="F9" s="2" t="n"/>
      <c r="G9" s="2" t="n"/>
    </row>
    <row r="10">
      <c r="A10" s="2" t="inlineStr">
        <is>
          <t>Risk-free rate (US 10-year, 2025-12-31)</t>
        </is>
      </c>
      <c r="B10" s="9" t="n">
        <v>0.0418</v>
      </c>
      <c r="C10" s="2" t="n"/>
      <c r="D10" s="2" t="n"/>
      <c r="E10" s="2" t="n"/>
      <c r="F10" s="2" t="n"/>
      <c r="G10" s="2" t="n"/>
    </row>
    <row r="11">
      <c r="A11" s="2" t="inlineStr">
        <is>
          <t>Equity beta (assumption)</t>
        </is>
      </c>
      <c r="B11" s="10" t="n">
        <v>0.75</v>
      </c>
      <c r="C11" s="2" t="n"/>
      <c r="D11" s="2" t="n"/>
      <c r="E11" s="2" t="n"/>
      <c r="F11" s="2" t="n"/>
      <c r="G11" s="2" t="n"/>
    </row>
    <row r="12">
      <c r="A12" s="2" t="inlineStr">
        <is>
          <t>Equity risk premium (Damodaran implied, 2026-01-01)</t>
        </is>
      </c>
      <c r="B12" s="9" t="n">
        <v>0.0423</v>
      </c>
      <c r="C12" s="2" t="n"/>
      <c r="D12" s="2" t="n"/>
      <c r="E12" s="2" t="n"/>
      <c r="F12" s="2" t="n"/>
      <c r="G12" s="2" t="n"/>
    </row>
    <row r="13">
      <c r="A13" s="2" t="inlineStr">
        <is>
          <t>Pre-tax cost of debt (FY2025 interest expense / average gross debt)</t>
        </is>
      </c>
      <c r="B13" s="8">
        <f>SUMIFS(Data!$D$2:$D$277,Data!$A$2:$A$277,"Novartis",Data!$B$2:$B$277,2025,Data!$C$2:$C$277,"interest_expense")/((SUMIFS(Data!$D$2:$D$277,Data!$A$2:$A$277,"Novartis",Data!$B$2:$B$277,2025,Data!$C$2:$C$277,"debt_current")+SUMIFS(Data!$D$2:$D$277,Data!$A$2:$A$277,"Novartis",Data!$B$2:$B$277,2025,Data!$C$2:$C$277,"debt_noncurrent")+SUMIFS(Data!$D$2:$D$277,Data!$A$2:$A$277,"Novartis",Data!$B$2:$B$277,2025,Data!$C$2:$C$277,"lease_current")+SUMIFS(Data!$D$2:$D$277,Data!$A$2:$A$277,"Novartis",Data!$B$2:$B$277,2025,Data!$C$2:$C$277,"lease_noncurrent")+SUMIFS(Data!$D$2:$D$277,Data!$A$2:$A$277,"Novartis",Data!$B$2:$B$277,2024,Data!$C$2:$C$277,"debt_current")+SUMIFS(Data!$D$2:$D$277,Data!$A$2:$A$277,"Novartis",Data!$B$2:$B$277,2024,Data!$C$2:$C$277,"debt_noncurrent")+SUMIFS(Data!$D$2:$D$277,Data!$A$2:$A$277,"Novartis",Data!$B$2:$B$277,2024,Data!$C$2:$C$277,"lease_current")+SUMIFS(Data!$D$2:$D$277,Data!$A$2:$A$277,"Novartis",Data!$B$2:$B$277,2024,Data!$C$2:$C$277,"lease_noncurrent"))/2)</f>
        <v/>
      </c>
      <c r="C13" s="2" t="n"/>
      <c r="D13" s="2" t="n"/>
      <c r="E13" s="2" t="n"/>
      <c r="F13" s="2" t="n"/>
      <c r="G13" s="2" t="n"/>
    </row>
    <row r="14">
      <c r="A14" s="2" t="inlineStr">
        <is>
          <t>Debt weight in capital structure (assumption; no market price available)</t>
        </is>
      </c>
      <c r="B14" s="7" t="n">
        <v>0.15</v>
      </c>
      <c r="C14" s="2" t="n"/>
      <c r="D14" s="2" t="n"/>
      <c r="E14" s="2" t="n"/>
      <c r="F14" s="2" t="n"/>
      <c r="G14" s="2" t="n"/>
    </row>
    <row r="15">
      <c r="A15" s="2" t="inlineStr">
        <is>
          <t>Cost of equity</t>
        </is>
      </c>
      <c r="B15" s="8">
        <f>B10+B11*B12</f>
        <v/>
      </c>
      <c r="C15" s="2" t="n"/>
      <c r="D15" s="2" t="n"/>
      <c r="E15" s="2" t="n"/>
      <c r="F15" s="2" t="n"/>
      <c r="G15" s="2" t="n"/>
    </row>
    <row r="16">
      <c r="A16" s="2" t="inlineStr">
        <is>
          <t>After-tax cost of debt</t>
        </is>
      </c>
      <c r="B16" s="8">
        <f>B13*(1-B5)</f>
        <v/>
      </c>
      <c r="C16" s="2" t="n"/>
      <c r="D16" s="2" t="n"/>
      <c r="E16" s="2" t="n"/>
      <c r="F16" s="2" t="n"/>
      <c r="G16" s="2" t="n"/>
    </row>
    <row r="17">
      <c r="A17" s="2" t="inlineStr">
        <is>
          <t>WACC (overwrite with a number to test a different rate)</t>
        </is>
      </c>
      <c r="B17" s="9">
        <f>(1-B14)*B15+B14*B16</f>
        <v/>
      </c>
      <c r="C17" s="2" t="n"/>
      <c r="D17" s="2" t="n"/>
      <c r="E17" s="2" t="n"/>
      <c r="F17" s="2" t="n"/>
      <c r="G17" s="2" t="n"/>
    </row>
    <row r="18">
      <c r="A18" s="2" t="inlineStr">
        <is>
          <t>Shares outstanding (millions, cover page)</t>
        </is>
      </c>
      <c r="B18" s="2">
        <f>SUMIFS(Data!$D$2:$D$277,Data!$A$2:$A$277,"Novartis",Data!$B$2:$B$277,2025,Data!$C$2:$C$277,"shares_outstanding_cover")</f>
        <v/>
      </c>
      <c r="C18" s="2" t="n"/>
      <c r="D18" s="2" t="n"/>
      <c r="E18" s="2" t="n"/>
      <c r="F18" s="2" t="n"/>
      <c r="G18" s="2" t="n"/>
    </row>
    <row r="19">
      <c r="A19" s="2" t="inlineStr">
        <is>
          <t>Mid-year discounting (1 = yes, 0 = no)</t>
        </is>
      </c>
      <c r="B19" s="11" t="n">
        <v>0</v>
      </c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12" t="inlineStr">
        <is>
          <t>Projection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Year</t>
        </is>
      </c>
      <c r="B22" s="2" t="n">
        <v>0</v>
      </c>
      <c r="C22" s="2" t="n">
        <v>1</v>
      </c>
      <c r="D22" s="2" t="n">
        <v>2</v>
      </c>
      <c r="E22" s="2" t="n">
        <v>3</v>
      </c>
      <c r="F22" s="2" t="n">
        <v>4</v>
      </c>
      <c r="G22" s="2" t="n">
        <v>5</v>
      </c>
    </row>
    <row r="23">
      <c r="A23" s="2" t="inlineStr">
        <is>
          <t>Revenue growth (assumption)</t>
        </is>
      </c>
      <c r="B23" s="2" t="n"/>
      <c r="C23" s="7" t="n">
        <v>0.05</v>
      </c>
      <c r="D23" s="7" t="n">
        <v>0.045</v>
      </c>
      <c r="E23" s="7" t="n">
        <v>0.04</v>
      </c>
      <c r="F23" s="7" t="n">
        <v>0.035</v>
      </c>
      <c r="G23" s="7" t="n">
        <v>0.03</v>
      </c>
    </row>
    <row r="24">
      <c r="A24" s="2" t="inlineStr">
        <is>
          <t>Operating margin on net sales (assumption)</t>
        </is>
      </c>
      <c r="B24" s="2" t="n"/>
      <c r="C24" s="7" t="n">
        <v>0.32</v>
      </c>
      <c r="D24" s="7" t="n">
        <v>0.315</v>
      </c>
      <c r="E24" s="7" t="n">
        <v>0.31</v>
      </c>
      <c r="F24" s="7" t="n">
        <v>0.305</v>
      </c>
      <c r="G24" s="7" t="n">
        <v>0.3</v>
      </c>
    </row>
    <row r="25">
      <c r="A25" s="2" t="inlineStr">
        <is>
          <t>Revenue</t>
        </is>
      </c>
      <c r="B25" s="2">
        <f>B3</f>
        <v/>
      </c>
      <c r="C25" s="2">
        <f>B25*(1+C23)</f>
        <v/>
      </c>
      <c r="D25" s="2">
        <f>C25*(1+D23)</f>
        <v/>
      </c>
      <c r="E25" s="2">
        <f>D25*(1+E23)</f>
        <v/>
      </c>
      <c r="F25" s="2">
        <f>E25*(1+F23)</f>
        <v/>
      </c>
      <c r="G25" s="2">
        <f>F25*(1+G23)</f>
        <v/>
      </c>
    </row>
    <row r="26">
      <c r="A26" s="2" t="inlineStr">
        <is>
          <t>Operating income (EBIT)</t>
        </is>
      </c>
      <c r="B26" s="2" t="n"/>
      <c r="C26" s="2">
        <f>C25*C24</f>
        <v/>
      </c>
      <c r="D26" s="2">
        <f>D25*D24</f>
        <v/>
      </c>
      <c r="E26" s="2">
        <f>E25*E24</f>
        <v/>
      </c>
      <c r="F26" s="2">
        <f>F25*F24</f>
        <v/>
      </c>
      <c r="G26" s="2">
        <f>G25*G24</f>
        <v/>
      </c>
    </row>
    <row r="27">
      <c r="A27" s="2" t="inlineStr">
        <is>
          <t>NOPAT</t>
        </is>
      </c>
      <c r="B27" s="2" t="n"/>
      <c r="C27" s="2">
        <f>C26*(1-$B$5)</f>
        <v/>
      </c>
      <c r="D27" s="2">
        <f>D26*(1-$B$5)</f>
        <v/>
      </c>
      <c r="E27" s="2">
        <f>E26*(1-$B$5)</f>
        <v/>
      </c>
      <c r="F27" s="2">
        <f>F26*(1-$B$5)</f>
        <v/>
      </c>
      <c r="G27" s="2">
        <f>G26*(1-$B$5)</f>
        <v/>
      </c>
    </row>
    <row r="28">
      <c r="A28" s="2" t="inlineStr">
        <is>
          <t>D&amp;A</t>
        </is>
      </c>
      <c r="B28" s="2" t="n"/>
      <c r="C28" s="2">
        <f>C25*$B$6</f>
        <v/>
      </c>
      <c r="D28" s="2">
        <f>D25*$B$6</f>
        <v/>
      </c>
      <c r="E28" s="2">
        <f>E25*$B$6</f>
        <v/>
      </c>
      <c r="F28" s="2">
        <f>F25*$B$6</f>
        <v/>
      </c>
      <c r="G28" s="2">
        <f>G25*$B$6</f>
        <v/>
      </c>
    </row>
    <row r="29">
      <c r="A29" s="2" t="inlineStr">
        <is>
          <t>Capex</t>
        </is>
      </c>
      <c r="B29" s="2" t="n"/>
      <c r="C29" s="2">
        <f>C25*$B$7</f>
        <v/>
      </c>
      <c r="D29" s="2">
        <f>D25*$B$7</f>
        <v/>
      </c>
      <c r="E29" s="2">
        <f>E25*$B$7</f>
        <v/>
      </c>
      <c r="F29" s="2">
        <f>F25*$B$7</f>
        <v/>
      </c>
      <c r="G29" s="2">
        <f>G25*$B$7</f>
        <v/>
      </c>
    </row>
    <row r="30">
      <c r="A30" s="2" t="inlineStr">
        <is>
          <t>Net working capital</t>
        </is>
      </c>
      <c r="B30" s="2">
        <f>B4</f>
        <v/>
      </c>
      <c r="C30" s="2">
        <f>C25*$B$8</f>
        <v/>
      </c>
      <c r="D30" s="2">
        <f>D25*$B$8</f>
        <v/>
      </c>
      <c r="E30" s="2">
        <f>E25*$B$8</f>
        <v/>
      </c>
      <c r="F30" s="2">
        <f>F25*$B$8</f>
        <v/>
      </c>
      <c r="G30" s="2">
        <f>G25*$B$8</f>
        <v/>
      </c>
    </row>
    <row r="31">
      <c r="A31" s="2" t="inlineStr">
        <is>
          <t>Increase in net working capital</t>
        </is>
      </c>
      <c r="B31" s="2" t="n"/>
      <c r="C31" s="2">
        <f>C30-B30</f>
        <v/>
      </c>
      <c r="D31" s="2">
        <f>D30-C30</f>
        <v/>
      </c>
      <c r="E31" s="2">
        <f>E30-D30</f>
        <v/>
      </c>
      <c r="F31" s="2">
        <f>F30-E30</f>
        <v/>
      </c>
      <c r="G31" s="2">
        <f>G30-F30</f>
        <v/>
      </c>
    </row>
    <row r="32">
      <c r="A32" s="2" t="inlineStr">
        <is>
          <t>Free cash flow to the firm</t>
        </is>
      </c>
      <c r="B32" s="2" t="n"/>
      <c r="C32" s="2">
        <f>C27+C28-C29-C31</f>
        <v/>
      </c>
      <c r="D32" s="2">
        <f>D27+D28-D29-D31</f>
        <v/>
      </c>
      <c r="E32" s="2">
        <f>E27+E28-E29-E31</f>
        <v/>
      </c>
      <c r="F32" s="2">
        <f>F27+F28-F29-F31</f>
        <v/>
      </c>
      <c r="G32" s="2">
        <f>G27+G28-G29-G31</f>
        <v/>
      </c>
    </row>
    <row r="33">
      <c r="A33" s="2" t="inlineStr">
        <is>
          <t>Discount factor</t>
        </is>
      </c>
      <c r="B33" s="2" t="n"/>
      <c r="C33" s="2">
        <f>1/(1+$B$17)^(C22-0.5*$B$19)</f>
        <v/>
      </c>
      <c r="D33" s="2">
        <f>1/(1+$B$17)^(D22-0.5*$B$19)</f>
        <v/>
      </c>
      <c r="E33" s="2">
        <f>1/(1+$B$17)^(E22-0.5*$B$19)</f>
        <v/>
      </c>
      <c r="F33" s="2">
        <f>1/(1+$B$17)^(F22-0.5*$B$19)</f>
        <v/>
      </c>
      <c r="G33" s="2">
        <f>1/(1+$B$17)^(G22-0.5*$B$19)</f>
        <v/>
      </c>
    </row>
    <row r="34">
      <c r="A34" s="2" t="inlineStr">
        <is>
          <t>Present value</t>
        </is>
      </c>
      <c r="B34" s="2" t="n"/>
      <c r="C34" s="2">
        <f>C32*C33</f>
        <v/>
      </c>
      <c r="D34" s="2">
        <f>D32*D33</f>
        <v/>
      </c>
      <c r="E34" s="2">
        <f>E32*E33</f>
        <v/>
      </c>
      <c r="F34" s="2">
        <f>F32*F33</f>
        <v/>
      </c>
      <c r="G34" s="2">
        <f>G32*G33</f>
        <v/>
      </c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12" t="inlineStr">
        <is>
          <t>Terminal value and enterprise value</t>
        </is>
      </c>
      <c r="B36" s="2" t="n"/>
      <c r="C36" s="2" t="n"/>
      <c r="D36" s="2" t="n"/>
      <c r="E36" s="2" t="n"/>
      <c r="F36" s="2" t="n"/>
      <c r="G36" s="2" t="n"/>
    </row>
    <row r="37">
      <c r="A37" s="2" t="inlineStr">
        <is>
          <t>First terminal-year free cash flow (D&amp;A set equal to capex)</t>
        </is>
      </c>
      <c r="B37" s="2">
        <f>G27*(1+B9)-B8*G25*B9</f>
        <v/>
      </c>
      <c r="C37" s="2" t="n"/>
      <c r="D37" s="2" t="n"/>
      <c r="E37" s="2" t="n"/>
      <c r="F37" s="2" t="n"/>
      <c r="G37" s="2" t="n"/>
    </row>
    <row r="38">
      <c r="A38" s="2" t="inlineStr">
        <is>
          <t>Terminal value at year 5</t>
        </is>
      </c>
      <c r="B38" s="2">
        <f>B37/(B17-B9)</f>
        <v/>
      </c>
      <c r="C38" s="2" t="n"/>
      <c r="D38" s="2" t="n"/>
      <c r="E38" s="2" t="n"/>
      <c r="F38" s="2" t="n"/>
      <c r="G38" s="2" t="n"/>
    </row>
    <row r="39">
      <c r="A39" s="2" t="inlineStr">
        <is>
          <t>Present value of terminal value</t>
        </is>
      </c>
      <c r="B39" s="2">
        <f>B38*G33</f>
        <v/>
      </c>
      <c r="C39" s="2" t="n"/>
      <c r="D39" s="2" t="n"/>
      <c r="E39" s="2" t="n"/>
      <c r="F39" s="2" t="n"/>
      <c r="G39" s="2" t="n"/>
    </row>
    <row r="40">
      <c r="A40" s="2" t="inlineStr">
        <is>
          <t>Present value of explicit cash flows</t>
        </is>
      </c>
      <c r="B40" s="2">
        <f>SUM(C34:G34)</f>
        <v/>
      </c>
      <c r="C40" s="2" t="n"/>
      <c r="D40" s="2" t="n"/>
      <c r="E40" s="2" t="n"/>
      <c r="F40" s="2" t="n"/>
      <c r="G40" s="2" t="n"/>
    </row>
    <row r="41">
      <c r="A41" s="2" t="inlineStr">
        <is>
          <t>Enterprise value</t>
        </is>
      </c>
      <c r="B41" s="2">
        <f>B40+B39</f>
        <v/>
      </c>
      <c r="C41" s="2" t="n"/>
      <c r="D41" s="2" t="n"/>
      <c r="E41" s="2" t="n"/>
      <c r="F41" s="2" t="n"/>
      <c r="G41" s="2" t="n"/>
    </row>
    <row r="42">
      <c r="A42" s="2" t="inlineStr">
        <is>
          <t>Terminal value as % of enterprise value</t>
        </is>
      </c>
      <c r="B42" s="5">
        <f>B39/B41</f>
        <v/>
      </c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12" t="inlineStr">
        <is>
          <t>Enterprise value to equity value (FY2025 balance sheet)</t>
        </is>
      </c>
      <c r="B44" s="2" t="n"/>
      <c r="C44" s="2" t="n"/>
      <c r="D44" s="2" t="n"/>
      <c r="E44" s="2" t="n"/>
      <c r="F44" s="2" t="n"/>
      <c r="G44" s="2" t="n"/>
    </row>
    <row r="45">
      <c r="A45" s="2" t="inlineStr">
        <is>
          <t>Enterprise value</t>
        </is>
      </c>
      <c r="B45" s="2">
        <f>B41</f>
        <v/>
      </c>
      <c r="C45" s="2" t="n"/>
      <c r="D45" s="2" t="n"/>
      <c r="E45" s="2" t="n"/>
      <c r="F45" s="2" t="n"/>
      <c r="G45" s="2" t="n"/>
    </row>
    <row r="46">
      <c r="A46" s="2" t="inlineStr">
        <is>
          <t>Less: gross borrowings and lease liabilities</t>
        </is>
      </c>
      <c r="B46" s="2">
        <f>-(SUMIFS(Data!$D$2:$D$277,Data!$A$2:$A$277,"Novartis",Data!$B$2:$B$277,2025,Data!$C$2:$C$277,"debt_current")+SUMIFS(Data!$D$2:$D$277,Data!$A$2:$A$277,"Novartis",Data!$B$2:$B$277,2025,Data!$C$2:$C$277,"debt_noncurrent")+SUMIFS(Data!$D$2:$D$277,Data!$A$2:$A$277,"Novartis",Data!$B$2:$B$277,2025,Data!$C$2:$C$277,"lease_current")+SUMIFS(Data!$D$2:$D$277,Data!$A$2:$A$277,"Novartis",Data!$B$2:$B$277,2025,Data!$C$2:$C$277,"lease_noncurrent"))</f>
        <v/>
      </c>
      <c r="C46" s="2" t="n"/>
      <c r="D46" s="2" t="n"/>
      <c r="E46" s="2" t="n"/>
      <c r="F46" s="2" t="n"/>
      <c r="G46" s="2" t="n"/>
    </row>
    <row r="47">
      <c r="A47" s="2" t="inlineStr">
        <is>
          <t>Plus: cash and cash equivalents</t>
        </is>
      </c>
      <c r="B47" s="2">
        <f>SUMIFS(Data!$D$2:$D$277,Data!$A$2:$A$277,"Novartis",Data!$B$2:$B$277,2025,Data!$C$2:$C$277,"cash")</f>
        <v/>
      </c>
      <c r="C47" s="2" t="n"/>
      <c r="D47" s="2" t="n"/>
      <c r="E47" s="2" t="n"/>
      <c r="F47" s="2" t="n"/>
      <c r="G47" s="2" t="n"/>
    </row>
    <row r="48">
      <c r="A48" s="2" t="inlineStr">
        <is>
          <t>Plus: marketable securities and short-term investments</t>
        </is>
      </c>
      <c r="B48" s="2">
        <f>SUMIFS(Data!$D$2:$D$277,Data!$A$2:$A$277,"Novartis",Data!$B$2:$B$277,2025,Data!$C$2:$C$277,"short_term_investments")</f>
        <v/>
      </c>
      <c r="C48" s="2" t="n"/>
      <c r="D48" s="2" t="n"/>
      <c r="E48" s="2" t="n"/>
      <c r="F48" s="2" t="n"/>
      <c r="G48" s="2" t="n"/>
    </row>
    <row r="49">
      <c r="A49" s="2" t="inlineStr">
        <is>
          <t>Plus: investments in associates (book)</t>
        </is>
      </c>
      <c r="B49" s="2">
        <f>SUMIFS(Data!$D$2:$D$277,Data!$A$2:$A$277,"Novartis",Data!$B$2:$B$277,2025,Data!$C$2:$C$277,"equity_method_investments")</f>
        <v/>
      </c>
      <c r="C49" s="2" t="n"/>
      <c r="D49" s="2" t="n"/>
      <c r="E49" s="2" t="n"/>
      <c r="F49" s="2" t="n"/>
      <c r="G49" s="2" t="n"/>
    </row>
    <row r="50">
      <c r="A50" s="2" t="inlineStr">
        <is>
          <t>Plus: other non-current financial assets (book)</t>
        </is>
      </c>
      <c r="B50" s="2">
        <f>SUMIFS(Data!$D$2:$D$277,Data!$A$2:$A$277,"Novartis",Data!$B$2:$B$277,2025,Data!$C$2:$C$277,"other_financial_assets")</f>
        <v/>
      </c>
      <c r="C50" s="2" t="n"/>
      <c r="D50" s="2" t="n"/>
      <c r="E50" s="2" t="n"/>
      <c r="F50" s="2" t="n"/>
      <c r="G50" s="2" t="n"/>
    </row>
    <row r="51">
      <c r="A51" s="2" t="inlineStr">
        <is>
          <t>Less: recognised post-employment liabilities</t>
        </is>
      </c>
      <c r="B51" s="2">
        <f>-SUMIFS(Data!$D$2:$D$277,Data!$A$2:$A$277,"Novartis",Data!$B$2:$B$277,2025,Data!$C$2:$C$277,"pension_liability")</f>
        <v/>
      </c>
      <c r="C51" s="2" t="n"/>
      <c r="D51" s="2" t="n"/>
      <c r="E51" s="2" t="n"/>
      <c r="F51" s="2" t="n"/>
      <c r="G51" s="2" t="n"/>
    </row>
    <row r="52">
      <c r="A52" s="2" t="inlineStr">
        <is>
          <t>Less: non-controlling interests (book)</t>
        </is>
      </c>
      <c r="B52" s="2">
        <f>-SUMIFS(Data!$D$2:$D$277,Data!$A$2:$A$277,"Novartis",Data!$B$2:$B$277,2025,Data!$C$2:$C$277,"nci_book")</f>
        <v/>
      </c>
      <c r="C52" s="2" t="n"/>
      <c r="D52" s="2" t="n"/>
      <c r="E52" s="2" t="n"/>
      <c r="F52" s="2" t="n"/>
      <c r="G52" s="2" t="n"/>
    </row>
    <row r="53">
      <c r="A53" s="2" t="inlineStr">
        <is>
          <t>Equity value</t>
        </is>
      </c>
      <c r="B53" s="12">
        <f>SUM(B45:B52)</f>
        <v/>
      </c>
      <c r="C53" s="2" t="n"/>
      <c r="D53" s="2" t="n"/>
      <c r="E53" s="2" t="n"/>
      <c r="F53" s="2" t="n"/>
      <c r="G53" s="2" t="n"/>
    </row>
    <row r="54">
      <c r="A54" s="2" t="inlineStr">
        <is>
          <t>Net bridge adjustments (equity value minus enterprise value)</t>
        </is>
      </c>
      <c r="B54" s="2">
        <f>B53-B45</f>
        <v/>
      </c>
      <c r="C54" s="2" t="n"/>
      <c r="D54" s="2" t="n"/>
      <c r="E54" s="2" t="n"/>
      <c r="F54" s="2" t="n"/>
      <c r="G54" s="2" t="n"/>
    </row>
    <row r="55">
      <c r="A55" s="2" t="inlineStr">
        <is>
          <t>Equity value per share (USD)</t>
        </is>
      </c>
      <c r="B55" s="12">
        <f>B53/B18</f>
        <v/>
      </c>
      <c r="C55" s="2" t="n"/>
      <c r="D55" s="2" t="n"/>
      <c r="E55" s="2" t="n"/>
      <c r="F55" s="2" t="n"/>
      <c r="G55" s="2" t="n"/>
    </row>
    <row r="56">
      <c r="A56" s="2" t="inlineStr">
        <is>
          <t>Market price per share (enter to compare)</t>
        </is>
      </c>
      <c r="B56" s="11" t="n"/>
      <c r="C56" s="2" t="n"/>
      <c r="D56" s="2" t="n"/>
      <c r="E56" s="2" t="n"/>
      <c r="F56" s="2" t="n"/>
      <c r="G56" s="2" t="n"/>
    </row>
    <row r="57">
      <c r="A57" s="2" t="inlineStr">
        <is>
          <t>DCF value vs entered price</t>
        </is>
      </c>
      <c r="B57" s="5">
        <f>IF(ISNUMBER(B56),B55/B56-1,"enter a price")</f>
        <v/>
      </c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Not in this bridge: litigation and tax provisions, off-balance-sheet commitments, pension surpluses, operating-lease commitments outside IFRS 16.</t>
        </is>
      </c>
      <c r="B59" s="2" t="n"/>
      <c r="C59" s="2" t="n"/>
      <c r="D59" s="2" t="n"/>
      <c r="E59" s="2" t="n"/>
      <c r="F59" s="2" t="n"/>
      <c r="G5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4" t="inlineStr">
        <is>
          <t>Equity value per share (USD): WACC (rows) by terminal growth (columns)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WACC \ g</t>
        </is>
      </c>
      <c r="B3" s="7" t="n">
        <v>0.01</v>
      </c>
      <c r="C3" s="7" t="n">
        <v>0.015</v>
      </c>
      <c r="D3" s="7" t="n">
        <v>0.02</v>
      </c>
      <c r="E3" s="7" t="n">
        <v>0.025</v>
      </c>
      <c r="F3" s="7" t="n">
        <v>0.03</v>
      </c>
    </row>
    <row r="4">
      <c r="A4" s="8">
        <f>DCF!$B$17+(-0.01)</f>
        <v/>
      </c>
      <c r="B4" s="13">
        <f>(SUMPRODUCT(DCF!$C$32:$G$32,1/(1+$A4)^(DCF!$C$22:$G$22-0.5*DCF!$B$19))+(DCF!$G$27*(1+B$3)-DCF!$B$8*DCF!$G$25*B$3)/($A4-B$3)/(1+$A4)^(DCF!$G$22-0.5*DCF!$B$19)+DCF!$B$54)/DCF!$B$18</f>
        <v/>
      </c>
      <c r="C4" s="13">
        <f>(SUMPRODUCT(DCF!$C$32:$G$32,1/(1+$A4)^(DCF!$C$22:$G$22-0.5*DCF!$B$19))+(DCF!$G$27*(1+C$3)-DCF!$B$8*DCF!$G$25*C$3)/($A4-C$3)/(1+$A4)^(DCF!$G$22-0.5*DCF!$B$19)+DCF!$B$54)/DCF!$B$18</f>
        <v/>
      </c>
      <c r="D4" s="13">
        <f>(SUMPRODUCT(DCF!$C$32:$G$32,1/(1+$A4)^(DCF!$C$22:$G$22-0.5*DCF!$B$19))+(DCF!$G$27*(1+D$3)-DCF!$B$8*DCF!$G$25*D$3)/($A4-D$3)/(1+$A4)^(DCF!$G$22-0.5*DCF!$B$19)+DCF!$B$54)/DCF!$B$18</f>
        <v/>
      </c>
      <c r="E4" s="13">
        <f>(SUMPRODUCT(DCF!$C$32:$G$32,1/(1+$A4)^(DCF!$C$22:$G$22-0.5*DCF!$B$19))+(DCF!$G$27*(1+E$3)-DCF!$B$8*DCF!$G$25*E$3)/($A4-E$3)/(1+$A4)^(DCF!$G$22-0.5*DCF!$B$19)+DCF!$B$54)/DCF!$B$18</f>
        <v/>
      </c>
      <c r="F4" s="13">
        <f>(SUMPRODUCT(DCF!$C$32:$G$32,1/(1+$A4)^(DCF!$C$22:$G$22-0.5*DCF!$B$19))+(DCF!$G$27*(1+F$3)-DCF!$B$8*DCF!$G$25*F$3)/($A4-F$3)/(1+$A4)^(DCF!$G$22-0.5*DCF!$B$19)+DCF!$B$54)/DCF!$B$18</f>
        <v/>
      </c>
    </row>
    <row r="5">
      <c r="A5" s="8">
        <f>DCF!$B$17+(-0.005)</f>
        <v/>
      </c>
      <c r="B5" s="13">
        <f>(SUMPRODUCT(DCF!$C$32:$G$32,1/(1+$A5)^(DCF!$C$22:$G$22-0.5*DCF!$B$19))+(DCF!$G$27*(1+B$3)-DCF!$B$8*DCF!$G$25*B$3)/($A5-B$3)/(1+$A5)^(DCF!$G$22-0.5*DCF!$B$19)+DCF!$B$54)/DCF!$B$18</f>
        <v/>
      </c>
      <c r="C5" s="13">
        <f>(SUMPRODUCT(DCF!$C$32:$G$32,1/(1+$A5)^(DCF!$C$22:$G$22-0.5*DCF!$B$19))+(DCF!$G$27*(1+C$3)-DCF!$B$8*DCF!$G$25*C$3)/($A5-C$3)/(1+$A5)^(DCF!$G$22-0.5*DCF!$B$19)+DCF!$B$54)/DCF!$B$18</f>
        <v/>
      </c>
      <c r="D5" s="13">
        <f>(SUMPRODUCT(DCF!$C$32:$G$32,1/(1+$A5)^(DCF!$C$22:$G$22-0.5*DCF!$B$19))+(DCF!$G$27*(1+D$3)-DCF!$B$8*DCF!$G$25*D$3)/($A5-D$3)/(1+$A5)^(DCF!$G$22-0.5*DCF!$B$19)+DCF!$B$54)/DCF!$B$18</f>
        <v/>
      </c>
      <c r="E5" s="13">
        <f>(SUMPRODUCT(DCF!$C$32:$G$32,1/(1+$A5)^(DCF!$C$22:$G$22-0.5*DCF!$B$19))+(DCF!$G$27*(1+E$3)-DCF!$B$8*DCF!$G$25*E$3)/($A5-E$3)/(1+$A5)^(DCF!$G$22-0.5*DCF!$B$19)+DCF!$B$54)/DCF!$B$18</f>
        <v/>
      </c>
      <c r="F5" s="13">
        <f>(SUMPRODUCT(DCF!$C$32:$G$32,1/(1+$A5)^(DCF!$C$22:$G$22-0.5*DCF!$B$19))+(DCF!$G$27*(1+F$3)-DCF!$B$8*DCF!$G$25*F$3)/($A5-F$3)/(1+$A5)^(DCF!$G$22-0.5*DCF!$B$19)+DCF!$B$54)/DCF!$B$18</f>
        <v/>
      </c>
    </row>
    <row r="6">
      <c r="A6" s="8">
        <f>DCF!$B$17+(0.0)</f>
        <v/>
      </c>
      <c r="B6" s="13">
        <f>(SUMPRODUCT(DCF!$C$32:$G$32,1/(1+$A6)^(DCF!$C$22:$G$22-0.5*DCF!$B$19))+(DCF!$G$27*(1+B$3)-DCF!$B$8*DCF!$G$25*B$3)/($A6-B$3)/(1+$A6)^(DCF!$G$22-0.5*DCF!$B$19)+DCF!$B$54)/DCF!$B$18</f>
        <v/>
      </c>
      <c r="C6" s="13">
        <f>(SUMPRODUCT(DCF!$C$32:$G$32,1/(1+$A6)^(DCF!$C$22:$G$22-0.5*DCF!$B$19))+(DCF!$G$27*(1+C$3)-DCF!$B$8*DCF!$G$25*C$3)/($A6-C$3)/(1+$A6)^(DCF!$G$22-0.5*DCF!$B$19)+DCF!$B$54)/DCF!$B$18</f>
        <v/>
      </c>
      <c r="D6" s="13">
        <f>(SUMPRODUCT(DCF!$C$32:$G$32,1/(1+$A6)^(DCF!$C$22:$G$22-0.5*DCF!$B$19))+(DCF!$G$27*(1+D$3)-DCF!$B$8*DCF!$G$25*D$3)/($A6-D$3)/(1+$A6)^(DCF!$G$22-0.5*DCF!$B$19)+DCF!$B$54)/DCF!$B$18</f>
        <v/>
      </c>
      <c r="E6" s="13">
        <f>(SUMPRODUCT(DCF!$C$32:$G$32,1/(1+$A6)^(DCF!$C$22:$G$22-0.5*DCF!$B$19))+(DCF!$G$27*(1+E$3)-DCF!$B$8*DCF!$G$25*E$3)/($A6-E$3)/(1+$A6)^(DCF!$G$22-0.5*DCF!$B$19)+DCF!$B$54)/DCF!$B$18</f>
        <v/>
      </c>
      <c r="F6" s="13">
        <f>(SUMPRODUCT(DCF!$C$32:$G$32,1/(1+$A6)^(DCF!$C$22:$G$22-0.5*DCF!$B$19))+(DCF!$G$27*(1+F$3)-DCF!$B$8*DCF!$G$25*F$3)/($A6-F$3)/(1+$A6)^(DCF!$G$22-0.5*DCF!$B$19)+DCF!$B$54)/DCF!$B$18</f>
        <v/>
      </c>
    </row>
    <row r="7">
      <c r="A7" s="8">
        <f>DCF!$B$17+(0.005)</f>
        <v/>
      </c>
      <c r="B7" s="13">
        <f>(SUMPRODUCT(DCF!$C$32:$G$32,1/(1+$A7)^(DCF!$C$22:$G$22-0.5*DCF!$B$19))+(DCF!$G$27*(1+B$3)-DCF!$B$8*DCF!$G$25*B$3)/($A7-B$3)/(1+$A7)^(DCF!$G$22-0.5*DCF!$B$19)+DCF!$B$54)/DCF!$B$18</f>
        <v/>
      </c>
      <c r="C7" s="13">
        <f>(SUMPRODUCT(DCF!$C$32:$G$32,1/(1+$A7)^(DCF!$C$22:$G$22-0.5*DCF!$B$19))+(DCF!$G$27*(1+C$3)-DCF!$B$8*DCF!$G$25*C$3)/($A7-C$3)/(1+$A7)^(DCF!$G$22-0.5*DCF!$B$19)+DCF!$B$54)/DCF!$B$18</f>
        <v/>
      </c>
      <c r="D7" s="13">
        <f>(SUMPRODUCT(DCF!$C$32:$G$32,1/(1+$A7)^(DCF!$C$22:$G$22-0.5*DCF!$B$19))+(DCF!$G$27*(1+D$3)-DCF!$B$8*DCF!$G$25*D$3)/($A7-D$3)/(1+$A7)^(DCF!$G$22-0.5*DCF!$B$19)+DCF!$B$54)/DCF!$B$18</f>
        <v/>
      </c>
      <c r="E7" s="13">
        <f>(SUMPRODUCT(DCF!$C$32:$G$32,1/(1+$A7)^(DCF!$C$22:$G$22-0.5*DCF!$B$19))+(DCF!$G$27*(1+E$3)-DCF!$B$8*DCF!$G$25*E$3)/($A7-E$3)/(1+$A7)^(DCF!$G$22-0.5*DCF!$B$19)+DCF!$B$54)/DCF!$B$18</f>
        <v/>
      </c>
      <c r="F7" s="13">
        <f>(SUMPRODUCT(DCF!$C$32:$G$32,1/(1+$A7)^(DCF!$C$22:$G$22-0.5*DCF!$B$19))+(DCF!$G$27*(1+F$3)-DCF!$B$8*DCF!$G$25*F$3)/($A7-F$3)/(1+$A7)^(DCF!$G$22-0.5*DCF!$B$19)+DCF!$B$54)/DCF!$B$18</f>
        <v/>
      </c>
    </row>
    <row r="8">
      <c r="A8" s="8">
        <f>DCF!$B$17+(0.01)</f>
        <v/>
      </c>
      <c r="B8" s="13">
        <f>(SUMPRODUCT(DCF!$C$32:$G$32,1/(1+$A8)^(DCF!$C$22:$G$22-0.5*DCF!$B$19))+(DCF!$G$27*(1+B$3)-DCF!$B$8*DCF!$G$25*B$3)/($A8-B$3)/(1+$A8)^(DCF!$G$22-0.5*DCF!$B$19)+DCF!$B$54)/DCF!$B$18</f>
        <v/>
      </c>
      <c r="C8" s="13">
        <f>(SUMPRODUCT(DCF!$C$32:$G$32,1/(1+$A8)^(DCF!$C$22:$G$22-0.5*DCF!$B$19))+(DCF!$G$27*(1+C$3)-DCF!$B$8*DCF!$G$25*C$3)/($A8-C$3)/(1+$A8)^(DCF!$G$22-0.5*DCF!$B$19)+DCF!$B$54)/DCF!$B$18</f>
        <v/>
      </c>
      <c r="D8" s="13">
        <f>(SUMPRODUCT(DCF!$C$32:$G$32,1/(1+$A8)^(DCF!$C$22:$G$22-0.5*DCF!$B$19))+(DCF!$G$27*(1+D$3)-DCF!$B$8*DCF!$G$25*D$3)/($A8-D$3)/(1+$A8)^(DCF!$G$22-0.5*DCF!$B$19)+DCF!$B$54)/DCF!$B$18</f>
        <v/>
      </c>
      <c r="E8" s="13">
        <f>(SUMPRODUCT(DCF!$C$32:$G$32,1/(1+$A8)^(DCF!$C$22:$G$22-0.5*DCF!$B$19))+(DCF!$G$27*(1+E$3)-DCF!$B$8*DCF!$G$25*E$3)/($A8-E$3)/(1+$A8)^(DCF!$G$22-0.5*DCF!$B$19)+DCF!$B$54)/DCF!$B$18</f>
        <v/>
      </c>
      <c r="F8" s="13">
        <f>(SUMPRODUCT(DCF!$C$32:$G$32,1/(1+$A8)^(DCF!$C$22:$G$22-0.5*DCF!$B$19))+(DCF!$G$27*(1+F$3)-DCF!$B$8*DCF!$G$25*F$3)/($A8-F$3)/(1+$A8)^(DCF!$G$22-0.5*DCF!$B$19)+DCF!$B$54)/DCF!$B$18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Checks (every value should read 0 or TRUE)</t>
        </is>
      </c>
      <c r="B1" s="2" t="n"/>
    </row>
    <row r="2">
      <c r="A2" s="2" t="n"/>
      <c r="B2" s="2" t="n"/>
    </row>
    <row r="3">
      <c r="A3" s="2" t="inlineStr">
        <is>
          <t>Balance sheet identity Novartis 2023: assets - equity - liabilities</t>
        </is>
      </c>
      <c r="B3" s="2">
        <f>SUMIFS(Data!$D$2:$D$277,Data!$A$2:$A$277,"Novartis",Data!$B$2:$B$277,2023,Data!$C$2:$C$277,"total_assets")-SUMIFS(Data!$D$2:$D$277,Data!$A$2:$A$277,"Novartis",Data!$B$2:$B$277,2023,Data!$C$2:$C$277,"total_equity")-SUMIFS(Data!$D$2:$D$277,Data!$A$2:$A$277,"Novartis",Data!$B$2:$B$277,2023,Data!$C$2:$C$277,"total_liabilities")</f>
        <v/>
      </c>
    </row>
    <row r="4">
      <c r="A4" s="2" t="inlineStr">
        <is>
          <t>Balance sheet identity Novartis 2024: assets - equity - liabilities</t>
        </is>
      </c>
      <c r="B4" s="2">
        <f>SUMIFS(Data!$D$2:$D$277,Data!$A$2:$A$277,"Novartis",Data!$B$2:$B$277,2024,Data!$C$2:$C$277,"total_assets")-SUMIFS(Data!$D$2:$D$277,Data!$A$2:$A$277,"Novartis",Data!$B$2:$B$277,2024,Data!$C$2:$C$277,"total_equity")-SUMIFS(Data!$D$2:$D$277,Data!$A$2:$A$277,"Novartis",Data!$B$2:$B$277,2024,Data!$C$2:$C$277,"total_liabilities")</f>
        <v/>
      </c>
    </row>
    <row r="5">
      <c r="A5" s="2" t="inlineStr">
        <is>
          <t>Balance sheet identity Novartis 2025: assets - equity - liabilities</t>
        </is>
      </c>
      <c r="B5" s="2">
        <f>SUMIFS(Data!$D$2:$D$277,Data!$A$2:$A$277,"Novartis",Data!$B$2:$B$277,2025,Data!$C$2:$C$277,"total_assets")-SUMIFS(Data!$D$2:$D$277,Data!$A$2:$A$277,"Novartis",Data!$B$2:$B$277,2025,Data!$C$2:$C$277,"total_equity")-SUMIFS(Data!$D$2:$D$277,Data!$A$2:$A$277,"Novartis",Data!$B$2:$B$277,2025,Data!$C$2:$C$277,"total_liabilities")</f>
        <v/>
      </c>
    </row>
    <row r="6">
      <c r="A6" s="2" t="inlineStr">
        <is>
          <t>Balance sheet identity GSK 2023: assets - equity - liabilities</t>
        </is>
      </c>
      <c r="B6" s="2">
        <f>SUMIFS(Data!$D$2:$D$277,Data!$A$2:$A$277,"GSK",Data!$B$2:$B$277,2023,Data!$C$2:$C$277,"total_assets")-SUMIFS(Data!$D$2:$D$277,Data!$A$2:$A$277,"GSK",Data!$B$2:$B$277,2023,Data!$C$2:$C$277,"total_equity")-SUMIFS(Data!$D$2:$D$277,Data!$A$2:$A$277,"GSK",Data!$B$2:$B$277,2023,Data!$C$2:$C$277,"total_liabilities")</f>
        <v/>
      </c>
    </row>
    <row r="7">
      <c r="A7" s="2" t="inlineStr">
        <is>
          <t>Balance sheet identity GSK 2024: assets - equity - liabilities</t>
        </is>
      </c>
      <c r="B7" s="2">
        <f>SUMIFS(Data!$D$2:$D$277,Data!$A$2:$A$277,"GSK",Data!$B$2:$B$277,2024,Data!$C$2:$C$277,"total_assets")-SUMIFS(Data!$D$2:$D$277,Data!$A$2:$A$277,"GSK",Data!$B$2:$B$277,2024,Data!$C$2:$C$277,"total_equity")-SUMIFS(Data!$D$2:$D$277,Data!$A$2:$A$277,"GSK",Data!$B$2:$B$277,2024,Data!$C$2:$C$277,"total_liabilities")</f>
        <v/>
      </c>
    </row>
    <row r="8">
      <c r="A8" s="2" t="inlineStr">
        <is>
          <t>Balance sheet identity GSK 2025: assets - equity - liabilities</t>
        </is>
      </c>
      <c r="B8" s="2">
        <f>SUMIFS(Data!$D$2:$D$277,Data!$A$2:$A$277,"GSK",Data!$B$2:$B$277,2025,Data!$C$2:$C$277,"total_assets")-SUMIFS(Data!$D$2:$D$277,Data!$A$2:$A$277,"GSK",Data!$B$2:$B$277,2025,Data!$C$2:$C$277,"total_equity")-SUMIFS(Data!$D$2:$D$277,Data!$A$2:$A$277,"GSK",Data!$B$2:$B$277,2025,Data!$C$2:$C$277,"total_liabilities")</f>
        <v/>
      </c>
    </row>
    <row r="9">
      <c r="A9" s="2" t="inlineStr">
        <is>
          <t>Balance sheet identity Novo Nordisk 2023: assets - equity - liabilities</t>
        </is>
      </c>
      <c r="B9" s="2">
        <f>SUMIFS(Data!$D$2:$D$277,Data!$A$2:$A$277,"Novo Nordisk",Data!$B$2:$B$277,2023,Data!$C$2:$C$277,"total_assets")-SUMIFS(Data!$D$2:$D$277,Data!$A$2:$A$277,"Novo Nordisk",Data!$B$2:$B$277,2023,Data!$C$2:$C$277,"total_equity")-SUMIFS(Data!$D$2:$D$277,Data!$A$2:$A$277,"Novo Nordisk",Data!$B$2:$B$277,2023,Data!$C$2:$C$277,"total_liabilities")</f>
        <v/>
      </c>
    </row>
    <row r="10">
      <c r="A10" s="2" t="inlineStr">
        <is>
          <t>Balance sheet identity Novo Nordisk 2024: assets - equity - liabilities</t>
        </is>
      </c>
      <c r="B10" s="2">
        <f>SUMIFS(Data!$D$2:$D$277,Data!$A$2:$A$277,"Novo Nordisk",Data!$B$2:$B$277,2024,Data!$C$2:$C$277,"total_assets")-SUMIFS(Data!$D$2:$D$277,Data!$A$2:$A$277,"Novo Nordisk",Data!$B$2:$B$277,2024,Data!$C$2:$C$277,"total_equity")-SUMIFS(Data!$D$2:$D$277,Data!$A$2:$A$277,"Novo Nordisk",Data!$B$2:$B$277,2024,Data!$C$2:$C$277,"total_liabilities")</f>
        <v/>
      </c>
    </row>
    <row r="11">
      <c r="A11" s="2" t="inlineStr">
        <is>
          <t>Balance sheet identity Novo Nordisk 2025: assets - equity - liabilities</t>
        </is>
      </c>
      <c r="B11" s="2">
        <f>SUMIFS(Data!$D$2:$D$277,Data!$A$2:$A$277,"Novo Nordisk",Data!$B$2:$B$277,2025,Data!$C$2:$C$277,"total_assets")-SUMIFS(Data!$D$2:$D$277,Data!$A$2:$A$277,"Novo Nordisk",Data!$B$2:$B$277,2025,Data!$C$2:$C$277,"total_equity")-SUMIFS(Data!$D$2:$D$277,Data!$A$2:$A$277,"Novo Nordisk",Data!$B$2:$B$277,2025,Data!$C$2:$C$277,"total_liabilities")</f>
        <v/>
      </c>
    </row>
    <row r="12">
      <c r="A12" s="2" t="inlineStr">
        <is>
          <t>WACC exceeds terminal growth</t>
        </is>
      </c>
      <c r="B12" s="2">
        <f>DCF!B17&gt;DCF!B9</f>
        <v/>
      </c>
    </row>
    <row r="13">
      <c r="A13" s="2" t="inlineStr">
        <is>
          <t>Bridge sums to equity value</t>
        </is>
      </c>
      <c r="B13" s="2">
        <f>ABS(SUM(DCF!B45:B52)-DCF!B53)&lt;0.001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2026-10-20T21:28:06Z</dcterms:created>
  <dcterms:modified xsi:type="dcterms:W3CDTF">2026-10-20T21:28:06Z</dcterms:modified>
</cp:coreProperties>
</file>